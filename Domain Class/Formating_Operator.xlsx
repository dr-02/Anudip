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Desktop\Anudip_Task\Domain\Class Work\"/>
    </mc:Choice>
  </mc:AlternateContent>
  <xr:revisionPtr revIDLastSave="0" documentId="13_ncr:1_{94C81230-9683-4964-9608-6B2ADC907983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E_C Data" sheetId="1" r:id="rId1"/>
    <sheet name="Sorting &amp; Filtering" sheetId="5" r:id="rId2"/>
    <sheet name="Tast_Func" sheetId="3" r:id="rId3"/>
    <sheet name="Operator" sheetId="2" r:id="rId4"/>
    <sheet name="Sorting_Filter" sheetId="6" r:id="rId5"/>
    <sheet name="Conditonal format" sheetId="7" r:id="rId6"/>
  </sheets>
  <definedNames>
    <definedName name="_xlnm._FilterDatabase" localSheetId="5" hidden="1">'Conditonal format'!$Q$2:$Q$373</definedName>
    <definedName name="_xlnm._FilterDatabase" localSheetId="0" hidden="1">'E_C Data'!$AF$2:$AF$373</definedName>
    <definedName name="_xlnm._FilterDatabase" localSheetId="1" hidden="1">'Sorting &amp; Filtering'!$A$1:$N$373</definedName>
    <definedName name="_xlnm._FilterDatabase" localSheetId="4" hidden="1">Sorting_Filter!$B$1:$N$373</definedName>
    <definedName name="_xlnm.Criteria" localSheetId="1">'Sorting &amp; Filtering'!$P$7:$P$8</definedName>
    <definedName name="_xlnm.Criteria" localSheetId="4">Sorting_Filter!$P$5:$Q$6</definedName>
    <definedName name="_xlnm.Extract" localSheetId="1">'Sorting &amp; Filtering'!$S$5:$AF$5</definedName>
    <definedName name="_xlnm.Extract" localSheetId="4">Sorting_Filter!$P$9:$AB$9</definedName>
  </definedNames>
  <calcPr calcId="191029"/>
</workbook>
</file>

<file path=xl/calcChain.xml><?xml version="1.0" encoding="utf-8"?>
<calcChain xmlns="http://schemas.openxmlformats.org/spreadsheetml/2006/main">
  <c r="AA41" i="1" l="1"/>
  <c r="X25" i="1"/>
  <c r="X32" i="1"/>
  <c r="X28" i="1"/>
  <c r="Y22" i="1"/>
  <c r="X19" i="1"/>
  <c r="X15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2" i="1"/>
  <c r="Z13" i="1"/>
  <c r="Y10" i="1"/>
  <c r="Y8" i="1"/>
  <c r="X5" i="1"/>
  <c r="H2" i="3"/>
  <c r="H3" i="3"/>
  <c r="H4" i="3"/>
  <c r="H5" i="3"/>
  <c r="H6" i="3"/>
  <c r="H7" i="3"/>
  <c r="H8" i="3"/>
  <c r="H9" i="3"/>
  <c r="H10" i="3"/>
  <c r="H11" i="3"/>
  <c r="G3" i="3"/>
  <c r="G4" i="3"/>
  <c r="G5" i="3"/>
  <c r="G6" i="3"/>
  <c r="G7" i="3"/>
  <c r="G8" i="3"/>
  <c r="G9" i="3"/>
  <c r="G10" i="3"/>
  <c r="G11" i="3"/>
  <c r="G2" i="3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2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2" i="1"/>
  <c r="D2" i="2"/>
</calcChain>
</file>

<file path=xl/sharedStrings.xml><?xml version="1.0" encoding="utf-8"?>
<sst xmlns="http://schemas.openxmlformats.org/spreadsheetml/2006/main" count="11165" uniqueCount="130">
  <si>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</si>
  <si>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</si>
  <si>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</si>
  <si>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</si>
  <si>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</si>
  <si>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</si>
  <si>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</si>
  <si>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</si>
  <si>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</si>
  <si>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</si>
  <si>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</si>
  <si>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</si>
  <si>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</si>
  <si>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</si>
  <si>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</si>
  <si>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</si>
  <si>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</si>
  <si>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</si>
  <si>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</si>
  <si>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</si>
  <si>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</si>
  <si>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</si>
  <si>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</si>
  <si>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</si>
  <si>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</si>
  <si>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</si>
  <si>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</si>
  <si>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</si>
  <si>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</si>
  <si>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</si>
  <si>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</si>
  <si>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</si>
  <si>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</si>
  <si>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</si>
  <si>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</si>
  <si>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</si>
  <si>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</si>
  <si>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</si>
  <si>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</si>
  <si>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</si>
  <si>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</si>
  <si>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</si>
  <si>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</si>
  <si>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</si>
  <si>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</si>
  <si>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</si>
  <si>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</si>
  <si>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</si>
  <si>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</si>
  <si>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</si>
  <si>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</si>
  <si>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</si>
  <si>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</si>
  <si>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</si>
  <si>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</si>
  <si>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</si>
  <si>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</si>
  <si>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</si>
  <si>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</si>
  <si>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</si>
  <si>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</si>
  <si>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</si>
  <si>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</si>
  <si>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</si>
  <si>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</si>
  <si>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Biography</t>
  </si>
  <si>
    <t>Smartphone</t>
  </si>
  <si>
    <t>Dumbbells</t>
  </si>
  <si>
    <t>Cookware Set</t>
  </si>
  <si>
    <t>Num 1</t>
  </si>
  <si>
    <t>Num 2</t>
  </si>
  <si>
    <t>Oparator</t>
  </si>
  <si>
    <t>Sale Status</t>
  </si>
  <si>
    <t>Formula ---</t>
  </si>
  <si>
    <t>IF(Selected Cell &gt;=5, "High Sell", "Low Sell")</t>
  </si>
  <si>
    <t>Sell Status 1</t>
  </si>
  <si>
    <t>IFS(L2&lt;5, "Low", L2=5, "Medium", L2&gt;5, "High")</t>
  </si>
  <si>
    <t>Sell Status 2</t>
  </si>
  <si>
    <t>IF(L2&gt;5,"High",(IF(L2=5,"Medium","Low")))</t>
  </si>
  <si>
    <t>Student ID</t>
  </si>
  <si>
    <t>Name</t>
  </si>
  <si>
    <t>Marks</t>
  </si>
  <si>
    <t>Attendance%</t>
  </si>
  <si>
    <t>Project Score</t>
  </si>
  <si>
    <t>Sports Participation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</si>
  <si>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</si>
  <si>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</si>
  <si>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</si>
  <si>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</si>
  <si>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</si>
  <si>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</si>
  <si>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</si>
  <si>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</si>
  <si>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</si>
  <si>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</si>
  <si>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Amit</t>
  </si>
  <si>
    <t>Riya</t>
  </si>
  <si>
    <t>Arjun</t>
  </si>
  <si>
    <t>Sneha</t>
  </si>
  <si>
    <t>Rahul</t>
  </si>
  <si>
    <t>Priya</t>
  </si>
  <si>
    <t>Karan</t>
  </si>
  <si>
    <t>Neha</t>
  </si>
  <si>
    <t>Vivek</t>
  </si>
  <si>
    <t>Ananya</t>
  </si>
  <si>
    <t>Yes</t>
  </si>
  <si>
    <t>No</t>
  </si>
  <si>
    <t>Marks P/F</t>
  </si>
  <si>
    <t>Grade</t>
  </si>
  <si>
    <t>Grade 2</t>
  </si>
  <si>
    <t>No. Of Customers:</t>
  </si>
  <si>
    <t>COUNT IF:</t>
  </si>
  <si>
    <t>Unit sold &gt;5</t>
  </si>
  <si>
    <t>unit sold&gt;5 &amp; brand = brand a</t>
  </si>
  <si>
    <t>COUNT IFS:</t>
  </si>
  <si>
    <t>Number</t>
  </si>
  <si>
    <t>Unit Sold Grater than</t>
  </si>
  <si>
    <t>COUNT IFS &amp; Drop Down</t>
  </si>
  <si>
    <t>Total Price</t>
  </si>
  <si>
    <t>Total Price with Discount</t>
  </si>
  <si>
    <t>Price after discount</t>
  </si>
  <si>
    <t>Total Revenue</t>
  </si>
  <si>
    <t>Total Unit Sold</t>
  </si>
  <si>
    <t>Brand Revenue</t>
  </si>
  <si>
    <t>Avg. Unit sold</t>
  </si>
  <si>
    <t>Avg. Price After Discount</t>
  </si>
  <si>
    <t>ctrl+shift+L</t>
  </si>
  <si>
    <t>A_Filter</t>
  </si>
  <si>
    <t>Critaria Filter</t>
  </si>
  <si>
    <t>In  Chennai Payment Methode is Cradid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</si>
</sst>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name val="Calibri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2" fillId="0" borderId="3" xfId="0" applyFont="1" applyBorder="1"/>
    <xf numFmtId="0" fontId="1" fillId="0" borderId="3" xfId="0" applyFont="1" applyBorder="1"/>
    <xf numFmtId="0" fontId="0" fillId="0" borderId="2" xfId="0" applyBorder="1"/>
    <xf numFmtId="0" fontId="3" fillId="2" borderId="2" xfId="0" applyFont="1" applyFill="1" applyBorder="1"/>
    <xf numFmtId="0" fontId="4" fillId="2" borderId="0" xfId="0" applyFont="1" applyFill="1"/>
    <xf numFmtId="0" fontId="4" fillId="0" borderId="2" xfId="0" applyFont="1" applyBorder="1"/>
    <xf numFmtId="0" fontId="3" fillId="0" borderId="2" xfId="0" applyFont="1" applyBorder="1"/>
    <xf numFmtId="0" fontId="3" fillId="2" borderId="4" xfId="0" applyFont="1" applyFill="1" applyBorder="1"/>
    <xf numFmtId="0" fontId="0" fillId="0" borderId="4" xfId="0" applyBorder="1"/>
    <xf numFmtId="0" fontId="2" fillId="0" borderId="2" xfId="0" applyFont="1" applyBorder="1"/>
    <xf numFmtId="0" fontId="1" fillId="0" borderId="2" xfId="0" applyFont="1" applyBorder="1"/>
    <xf numFmtId="0" fontId="2" fillId="0" borderId="4" xfId="0" applyFont="1" applyBorder="1"/>
    <xf numFmtId="0" fontId="1" fillId="0" borderId="4" xfId="0" applyFont="1" applyBorder="1"/>
    <xf numFmtId="0" fontId="1" fillId="0" borderId="5" xfId="0" applyFont="1" applyBorder="1"/>
    <xf numFmtId="164" fontId="0" fillId="0" borderId="0" xfId="0" applyNumberFormat="1"/>
    <xf numFmtId="14" fontId="0" fillId="0" borderId="0" xfId="0" applyNumberFormat="1"/>
    <xf numFmtId="0" fontId="6" fillId="0" borderId="0" xfId="0" applyFont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84"/>
  <sheetViews>
    <sheetView topLeftCell="Q1" zoomScale="90" zoomScaleNormal="90" workbookViewId="0">
      <pane ySplit="1" topLeftCell="A2" activePane="bottomLeft" state="frozen"/>
      <selection pane="bottomLeft" activeCell="Y21" sqref="Y21"/>
    </sheetView>
  </sheetViews>
  <sheetFormatPr defaultColWidth="14.44140625" defaultRowHeight="15" customHeight="1"/>
  <cols>
    <col min="1" max="1" width="7.88671875" customWidth="1"/>
    <col min="2" max="2" width="12.109375" bestFit="1" customWidth="1"/>
    <col min="3" max="4" width="11.21875" bestFit="1" customWidth="1"/>
    <col min="5" max="5" width="10.44140625" bestFit="1" customWidth="1"/>
    <col min="6" max="6" width="12.21875" bestFit="1" customWidth="1"/>
    <col min="7" max="7" width="12.109375" customWidth="1"/>
    <col min="8" max="8" width="15.109375" customWidth="1"/>
    <col min="9" max="9" width="15.33203125" customWidth="1"/>
    <col min="10" max="10" width="12.6640625" customWidth="1"/>
    <col min="11" max="11" width="7" customWidth="1"/>
    <col min="12" max="12" width="9.109375" customWidth="1"/>
    <col min="13" max="13" width="8.6640625" customWidth="1"/>
    <col min="14" max="15" width="10" customWidth="1"/>
    <col min="16" max="16" width="22" bestFit="1" customWidth="1"/>
    <col min="17" max="17" width="22" customWidth="1"/>
    <col min="23" max="23" width="21.6640625" bestFit="1" customWidth="1"/>
    <col min="24" max="24" width="25.109375" bestFit="1" customWidth="1"/>
    <col min="25" max="25" width="18.88671875" bestFit="1" customWidth="1"/>
    <col min="27" max="27" width="16.109375" bestFit="1" customWidth="1"/>
    <col min="28" max="28" width="22.5546875" bestFit="1" customWidth="1"/>
  </cols>
  <sheetData>
    <row r="1" spans="1:32" s="4" customFormat="1" ht="14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6" t="s">
        <v>13</v>
      </c>
      <c r="O1" s="15" t="s">
        <v>118</v>
      </c>
      <c r="P1" s="17" t="s">
        <v>119</v>
      </c>
      <c r="Q1" s="17" t="s">
        <v>120</v>
      </c>
      <c r="R1" s="13" t="s">
        <v>72</v>
      </c>
      <c r="S1" s="9" t="s">
        <v>75</v>
      </c>
      <c r="T1" s="9" t="s">
        <v>77</v>
      </c>
      <c r="U1" s="9" t="s">
        <v>118</v>
      </c>
    </row>
    <row r="2" spans="1:32" ht="14.25" customHeight="1">
      <c r="A2" s="1">
        <v>10001</v>
      </c>
      <c r="B2" s="1">
        <v>1102</v>
      </c>
      <c r="C2" s="2">
        <v>45197</v>
      </c>
      <c r="D2" s="2">
        <v>45203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>
        <v>2843.87</v>
      </c>
      <c r="N2" s="7">
        <v>0</v>
      </c>
      <c r="O2" s="16">
        <f>L2*M2</f>
        <v>19907.09</v>
      </c>
      <c r="P2" s="18">
        <f>O2*N2%</f>
        <v>0</v>
      </c>
      <c r="Q2" s="18">
        <f>O2-P2</f>
        <v>19907.09</v>
      </c>
      <c r="R2" s="14" t="str">
        <f>IF(L2&gt;=5, "High Sell", "Low Sell")</f>
        <v>High Sell</v>
      </c>
      <c r="S2" s="8" t="str">
        <f>_xlfn.IFS(L2&lt;5, "Low", L2=5, "Medium", L2&gt;5, "High")</f>
        <v>High</v>
      </c>
      <c r="T2" s="8" t="str">
        <f>IF(L2&gt;5,"High",(IF(L2=5,"Medium","Low")))</f>
        <v>High</v>
      </c>
      <c r="U2" s="8"/>
      <c r="AC2" t="s">
        <v>20</v>
      </c>
      <c r="AD2">
        <v>1</v>
      </c>
      <c r="AF2" t="s">
        <v>18</v>
      </c>
    </row>
    <row r="3" spans="1:32" ht="14.25" customHeight="1">
      <c r="A3" s="1">
        <v>10002</v>
      </c>
      <c r="B3" s="1">
        <v>1435</v>
      </c>
      <c r="C3" s="2">
        <v>45199</v>
      </c>
      <c r="D3" s="2">
        <v>45203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9</v>
      </c>
      <c r="M3" s="1">
        <v>2525.23</v>
      </c>
      <c r="N3" s="7">
        <v>5</v>
      </c>
      <c r="O3" s="16">
        <f t="shared" ref="O3:O66" si="0">L3*M3</f>
        <v>22727.07</v>
      </c>
      <c r="P3" s="18">
        <f t="shared" ref="P3:P66" si="1">O3*N3%</f>
        <v>1136.3534999999999</v>
      </c>
      <c r="Q3" s="18">
        <f t="shared" ref="Q3:Q66" si="2">O3-P3</f>
        <v>21590.716499999999</v>
      </c>
      <c r="R3" s="14" t="str">
        <f t="shared" ref="R3:R66" si="3">IF(L3&gt;=5, "High Sell", "Low Sell")</f>
        <v>High Sell</v>
      </c>
      <c r="S3" s="8" t="str">
        <f t="shared" ref="S3:S66" si="4">_xlfn.IFS(L3&lt;5, "Low", L3=5, "Medium", L3&gt;5, "High")</f>
        <v>High</v>
      </c>
      <c r="T3" s="8" t="str">
        <f t="shared" ref="T3:T66" si="5">IF(L3&gt;5,"High",(IF(L3=5,"Medium","Low")))</f>
        <v>High</v>
      </c>
      <c r="U3" s="8"/>
      <c r="AC3" t="s">
        <v>27</v>
      </c>
      <c r="AD3">
        <v>2</v>
      </c>
      <c r="AF3" t="s">
        <v>25</v>
      </c>
    </row>
    <row r="4" spans="1:32" ht="14.25" customHeight="1">
      <c r="A4" s="1">
        <v>10003</v>
      </c>
      <c r="B4" s="1">
        <v>1860</v>
      </c>
      <c r="C4" s="2">
        <v>45109</v>
      </c>
      <c r="D4" s="2">
        <v>45114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30</v>
      </c>
      <c r="J4" s="1" t="s">
        <v>31</v>
      </c>
      <c r="K4" s="1" t="s">
        <v>32</v>
      </c>
      <c r="L4" s="1">
        <v>6</v>
      </c>
      <c r="M4" s="1">
        <v>3474.34</v>
      </c>
      <c r="N4" s="7">
        <v>15</v>
      </c>
      <c r="O4" s="16">
        <f t="shared" si="0"/>
        <v>20846.04</v>
      </c>
      <c r="P4" s="18">
        <f t="shared" si="1"/>
        <v>3126.9059999999999</v>
      </c>
      <c r="Q4" s="18">
        <f t="shared" si="2"/>
        <v>17719.134000000002</v>
      </c>
      <c r="R4" s="14" t="str">
        <f t="shared" si="3"/>
        <v>High Sell</v>
      </c>
      <c r="S4" s="8" t="str">
        <f t="shared" si="4"/>
        <v>High</v>
      </c>
      <c r="T4" s="8" t="str">
        <f t="shared" si="5"/>
        <v>High</v>
      </c>
      <c r="U4" s="8"/>
      <c r="AC4" t="s">
        <v>32</v>
      </c>
      <c r="AD4">
        <v>3</v>
      </c>
      <c r="AF4" t="s">
        <v>30</v>
      </c>
    </row>
    <row r="5" spans="1:32" ht="14.25" customHeight="1">
      <c r="A5" s="1">
        <v>10004</v>
      </c>
      <c r="B5" s="1">
        <v>1270</v>
      </c>
      <c r="C5" s="2">
        <v>45079</v>
      </c>
      <c r="D5" s="2">
        <v>45087</v>
      </c>
      <c r="E5" s="1" t="s">
        <v>33</v>
      </c>
      <c r="F5" s="1" t="s">
        <v>28</v>
      </c>
      <c r="G5" s="1" t="s">
        <v>23</v>
      </c>
      <c r="H5" s="1" t="s">
        <v>34</v>
      </c>
      <c r="I5" s="1" t="s">
        <v>25</v>
      </c>
      <c r="J5" s="1" t="s">
        <v>35</v>
      </c>
      <c r="K5" s="1" t="s">
        <v>20</v>
      </c>
      <c r="L5" s="1">
        <v>1</v>
      </c>
      <c r="M5" s="1">
        <v>1008.79</v>
      </c>
      <c r="N5" s="7">
        <v>15</v>
      </c>
      <c r="O5" s="16">
        <f t="shared" si="0"/>
        <v>1008.79</v>
      </c>
      <c r="P5" s="18">
        <f t="shared" si="1"/>
        <v>151.3185</v>
      </c>
      <c r="Q5" s="18">
        <f t="shared" si="2"/>
        <v>857.47149999999999</v>
      </c>
      <c r="R5" s="14" t="str">
        <f t="shared" si="3"/>
        <v>Low Sell</v>
      </c>
      <c r="S5" s="8" t="str">
        <f t="shared" si="4"/>
        <v>Low</v>
      </c>
      <c r="T5" s="8" t="str">
        <f t="shared" si="5"/>
        <v>Low</v>
      </c>
      <c r="U5" s="8"/>
      <c r="W5" s="11" t="s">
        <v>110</v>
      </c>
      <c r="X5" s="8">
        <f>COUNT(A2:A373)</f>
        <v>372</v>
      </c>
      <c r="AC5" t="s">
        <v>44</v>
      </c>
      <c r="AD5">
        <v>4</v>
      </c>
      <c r="AF5" t="s">
        <v>48</v>
      </c>
    </row>
    <row r="6" spans="1:32" ht="14.25" customHeight="1">
      <c r="A6" s="1">
        <v>10005</v>
      </c>
      <c r="B6" s="1">
        <v>1106</v>
      </c>
      <c r="C6" s="2">
        <v>45241</v>
      </c>
      <c r="D6" s="2">
        <v>45244</v>
      </c>
      <c r="E6" s="1" t="s">
        <v>36</v>
      </c>
      <c r="F6" s="1" t="s">
        <v>37</v>
      </c>
      <c r="G6" s="1" t="s">
        <v>29</v>
      </c>
      <c r="H6" s="1" t="s">
        <v>17</v>
      </c>
      <c r="I6" s="1" t="s">
        <v>30</v>
      </c>
      <c r="J6" s="1" t="s">
        <v>38</v>
      </c>
      <c r="K6" s="1" t="s">
        <v>20</v>
      </c>
      <c r="L6" s="1">
        <v>7</v>
      </c>
      <c r="M6" s="1">
        <v>3511.47</v>
      </c>
      <c r="N6" s="7">
        <v>20</v>
      </c>
      <c r="O6" s="16">
        <f t="shared" si="0"/>
        <v>24580.289999999997</v>
      </c>
      <c r="P6" s="18">
        <f t="shared" si="1"/>
        <v>4916.058</v>
      </c>
      <c r="Q6" s="18">
        <f t="shared" si="2"/>
        <v>19664.231999999996</v>
      </c>
      <c r="R6" s="14" t="str">
        <f t="shared" si="3"/>
        <v>High Sell</v>
      </c>
      <c r="S6" s="8" t="str">
        <f t="shared" si="4"/>
        <v>High</v>
      </c>
      <c r="T6" s="8" t="str">
        <f t="shared" si="5"/>
        <v>High</v>
      </c>
      <c r="U6" s="8"/>
      <c r="AC6" t="s">
        <v>46</v>
      </c>
      <c r="AD6">
        <v>5</v>
      </c>
      <c r="AF6" t="s">
        <v>51</v>
      </c>
    </row>
    <row r="7" spans="1:32" ht="14.25" customHeight="1">
      <c r="A7" s="1">
        <v>10006</v>
      </c>
      <c r="B7" s="1">
        <v>1071</v>
      </c>
      <c r="C7" s="2">
        <v>45260</v>
      </c>
      <c r="D7" s="2">
        <v>45263</v>
      </c>
      <c r="E7" s="1" t="s">
        <v>39</v>
      </c>
      <c r="F7" s="1" t="s">
        <v>40</v>
      </c>
      <c r="G7" s="1" t="s">
        <v>23</v>
      </c>
      <c r="H7" s="1" t="s">
        <v>41</v>
      </c>
      <c r="I7" s="1" t="s">
        <v>18</v>
      </c>
      <c r="J7" s="1" t="s">
        <v>42</v>
      </c>
      <c r="K7" s="1" t="s">
        <v>32</v>
      </c>
      <c r="L7" s="1">
        <v>3</v>
      </c>
      <c r="M7" s="1">
        <v>3189.55</v>
      </c>
      <c r="N7" s="7">
        <v>10</v>
      </c>
      <c r="O7" s="16">
        <f t="shared" si="0"/>
        <v>9568.6500000000015</v>
      </c>
      <c r="P7" s="18">
        <f t="shared" si="1"/>
        <v>956.86500000000024</v>
      </c>
      <c r="Q7" s="18">
        <f t="shared" si="2"/>
        <v>8611.7850000000017</v>
      </c>
      <c r="R7" s="14" t="str">
        <f t="shared" si="3"/>
        <v>Low Sell</v>
      </c>
      <c r="S7" s="8" t="str">
        <f t="shared" si="4"/>
        <v>Low</v>
      </c>
      <c r="T7" s="8" t="str">
        <f t="shared" si="5"/>
        <v>Low</v>
      </c>
      <c r="U7" s="8"/>
      <c r="AD7">
        <v>6</v>
      </c>
      <c r="AF7" t="s">
        <v>56</v>
      </c>
    </row>
    <row r="8" spans="1:32" ht="14.25" customHeight="1">
      <c r="A8" s="1">
        <v>10007</v>
      </c>
      <c r="B8" s="1">
        <v>1700</v>
      </c>
      <c r="C8" s="2">
        <v>45050</v>
      </c>
      <c r="D8" s="2">
        <v>45054</v>
      </c>
      <c r="E8" s="1" t="s">
        <v>33</v>
      </c>
      <c r="F8" s="1" t="s">
        <v>40</v>
      </c>
      <c r="G8" s="1" t="s">
        <v>16</v>
      </c>
      <c r="H8" s="1" t="s">
        <v>43</v>
      </c>
      <c r="I8" s="1" t="s">
        <v>30</v>
      </c>
      <c r="J8" s="1" t="s">
        <v>31</v>
      </c>
      <c r="K8" s="1" t="s">
        <v>44</v>
      </c>
      <c r="L8" s="1">
        <v>5</v>
      </c>
      <c r="M8" s="1">
        <v>3030.42</v>
      </c>
      <c r="N8" s="7">
        <v>10</v>
      </c>
      <c r="O8" s="16">
        <f t="shared" si="0"/>
        <v>15152.1</v>
      </c>
      <c r="P8" s="18">
        <f t="shared" si="1"/>
        <v>1515.21</v>
      </c>
      <c r="Q8" s="18">
        <f t="shared" si="2"/>
        <v>13636.89</v>
      </c>
      <c r="R8" s="14" t="str">
        <f t="shared" si="3"/>
        <v>High Sell</v>
      </c>
      <c r="S8" s="8" t="str">
        <f t="shared" si="4"/>
        <v>Medium</v>
      </c>
      <c r="T8" s="8" t="str">
        <f t="shared" si="5"/>
        <v>Medium</v>
      </c>
      <c r="U8" s="8"/>
      <c r="W8" s="11" t="s">
        <v>111</v>
      </c>
      <c r="X8" s="11" t="s">
        <v>112</v>
      </c>
      <c r="Y8" s="8">
        <f>COUNTIF(L2:L373, "&gt;5")</f>
        <v>169</v>
      </c>
      <c r="AD8">
        <v>7</v>
      </c>
    </row>
    <row r="9" spans="1:32" ht="14.25" customHeight="1">
      <c r="A9" s="1">
        <v>10008</v>
      </c>
      <c r="B9" s="1">
        <v>1020</v>
      </c>
      <c r="C9" s="2">
        <v>45040</v>
      </c>
      <c r="D9" s="2">
        <v>45041</v>
      </c>
      <c r="E9" s="1" t="s">
        <v>45</v>
      </c>
      <c r="F9" s="1" t="s">
        <v>15</v>
      </c>
      <c r="G9" s="1" t="s">
        <v>23</v>
      </c>
      <c r="H9" s="1" t="s">
        <v>17</v>
      </c>
      <c r="I9" s="1" t="s">
        <v>30</v>
      </c>
      <c r="J9" s="1" t="s">
        <v>31</v>
      </c>
      <c r="K9" s="1" t="s">
        <v>46</v>
      </c>
      <c r="L9" s="1">
        <v>4</v>
      </c>
      <c r="M9" s="1">
        <v>2310.83</v>
      </c>
      <c r="N9" s="7">
        <v>10</v>
      </c>
      <c r="O9" s="16">
        <f t="shared" si="0"/>
        <v>9243.32</v>
      </c>
      <c r="P9" s="18">
        <f t="shared" si="1"/>
        <v>924.33199999999999</v>
      </c>
      <c r="Q9" s="18">
        <f t="shared" si="2"/>
        <v>8318.9879999999994</v>
      </c>
      <c r="R9" s="14" t="str">
        <f t="shared" si="3"/>
        <v>Low Sell</v>
      </c>
      <c r="S9" s="8" t="str">
        <f t="shared" si="4"/>
        <v>Low</v>
      </c>
      <c r="T9" s="8" t="str">
        <f t="shared" si="5"/>
        <v>Low</v>
      </c>
      <c r="U9" s="8"/>
      <c r="AD9">
        <v>8</v>
      </c>
    </row>
    <row r="10" spans="1:32" ht="14.25" customHeight="1">
      <c r="A10" s="1">
        <v>10009</v>
      </c>
      <c r="B10" s="1">
        <v>1614</v>
      </c>
      <c r="C10" s="2">
        <v>45204</v>
      </c>
      <c r="D10" s="2">
        <v>45213</v>
      </c>
      <c r="E10" s="1" t="s">
        <v>14</v>
      </c>
      <c r="F10" s="1" t="s">
        <v>28</v>
      </c>
      <c r="G10" s="1" t="s">
        <v>23</v>
      </c>
      <c r="H10" s="1" t="s">
        <v>24</v>
      </c>
      <c r="I10" s="1" t="s">
        <v>30</v>
      </c>
      <c r="J10" s="1" t="s">
        <v>47</v>
      </c>
      <c r="K10" s="1" t="s">
        <v>27</v>
      </c>
      <c r="L10" s="1">
        <v>5</v>
      </c>
      <c r="M10" s="1">
        <v>1098.04</v>
      </c>
      <c r="N10" s="7">
        <v>15</v>
      </c>
      <c r="O10" s="16">
        <f t="shared" si="0"/>
        <v>5490.2</v>
      </c>
      <c r="P10" s="18">
        <f t="shared" si="1"/>
        <v>823.53</v>
      </c>
      <c r="Q10" s="18">
        <f t="shared" si="2"/>
        <v>4666.67</v>
      </c>
      <c r="R10" s="14" t="str">
        <f t="shared" si="3"/>
        <v>High Sell</v>
      </c>
      <c r="S10" s="8" t="str">
        <f t="shared" si="4"/>
        <v>Medium</v>
      </c>
      <c r="T10" s="8" t="str">
        <f t="shared" si="5"/>
        <v>Medium</v>
      </c>
      <c r="U10" s="8"/>
      <c r="W10" s="11" t="s">
        <v>114</v>
      </c>
      <c r="X10" s="11" t="s">
        <v>113</v>
      </c>
      <c r="Y10" s="11">
        <f>COUNTIFS(K2:K373, "BrandA", L2:L373,"&gt;5")</f>
        <v>35</v>
      </c>
      <c r="AD10">
        <v>9</v>
      </c>
    </row>
    <row r="11" spans="1:32" ht="14.25" customHeight="1">
      <c r="A11" s="1">
        <v>10010</v>
      </c>
      <c r="B11" s="1">
        <v>1121</v>
      </c>
      <c r="C11" s="2">
        <v>45139</v>
      </c>
      <c r="D11" s="2">
        <v>45147</v>
      </c>
      <c r="E11" s="1" t="s">
        <v>33</v>
      </c>
      <c r="F11" s="1" t="s">
        <v>37</v>
      </c>
      <c r="G11" s="1" t="s">
        <v>23</v>
      </c>
      <c r="H11" s="1" t="s">
        <v>34</v>
      </c>
      <c r="I11" s="1" t="s">
        <v>48</v>
      </c>
      <c r="J11" s="1" t="s">
        <v>49</v>
      </c>
      <c r="K11" s="1" t="s">
        <v>46</v>
      </c>
      <c r="L11" s="1">
        <v>5</v>
      </c>
      <c r="M11" s="1">
        <v>1780.66</v>
      </c>
      <c r="N11" s="7">
        <v>20</v>
      </c>
      <c r="O11" s="16">
        <f t="shared" si="0"/>
        <v>8903.3000000000011</v>
      </c>
      <c r="P11" s="18">
        <f t="shared" si="1"/>
        <v>1780.6600000000003</v>
      </c>
      <c r="Q11" s="18">
        <f t="shared" si="2"/>
        <v>7122.6400000000012</v>
      </c>
      <c r="R11" s="14" t="str">
        <f t="shared" si="3"/>
        <v>High Sell</v>
      </c>
      <c r="S11" s="8" t="str">
        <f t="shared" si="4"/>
        <v>Medium</v>
      </c>
      <c r="T11" s="8" t="str">
        <f t="shared" si="5"/>
        <v>Medium</v>
      </c>
      <c r="U11" s="8"/>
      <c r="AD11">
        <v>10</v>
      </c>
    </row>
    <row r="12" spans="1:32" ht="14.25" customHeight="1">
      <c r="A12" s="1">
        <v>10011</v>
      </c>
      <c r="B12" s="1">
        <v>1466</v>
      </c>
      <c r="C12" s="2">
        <v>45098</v>
      </c>
      <c r="D12" s="2">
        <v>45106</v>
      </c>
      <c r="E12" s="1" t="s">
        <v>33</v>
      </c>
      <c r="F12" s="1" t="s">
        <v>37</v>
      </c>
      <c r="G12" s="1" t="s">
        <v>16</v>
      </c>
      <c r="H12" s="1" t="s">
        <v>34</v>
      </c>
      <c r="I12" s="1" t="s">
        <v>48</v>
      </c>
      <c r="J12" s="1" t="s">
        <v>49</v>
      </c>
      <c r="K12" s="1" t="s">
        <v>32</v>
      </c>
      <c r="L12" s="1">
        <v>6</v>
      </c>
      <c r="M12" s="1">
        <v>3205.25</v>
      </c>
      <c r="N12" s="7">
        <v>0</v>
      </c>
      <c r="O12" s="16">
        <f t="shared" si="0"/>
        <v>19231.5</v>
      </c>
      <c r="P12" s="18">
        <f t="shared" si="1"/>
        <v>0</v>
      </c>
      <c r="Q12" s="18">
        <f t="shared" si="2"/>
        <v>19231.5</v>
      </c>
      <c r="R12" s="14" t="str">
        <f t="shared" si="3"/>
        <v>High Sell</v>
      </c>
      <c r="S12" s="8" t="str">
        <f t="shared" si="4"/>
        <v>High</v>
      </c>
      <c r="T12" s="8" t="str">
        <f t="shared" si="5"/>
        <v>High</v>
      </c>
      <c r="U12" s="8"/>
      <c r="W12" s="11" t="s">
        <v>117</v>
      </c>
      <c r="X12" s="12" t="s">
        <v>10</v>
      </c>
      <c r="Y12" s="12" t="s">
        <v>116</v>
      </c>
      <c r="Z12" s="12" t="s">
        <v>115</v>
      </c>
    </row>
    <row r="13" spans="1:32" ht="14.25" customHeight="1">
      <c r="A13" s="1">
        <v>10012</v>
      </c>
      <c r="B13" s="1">
        <v>1214</v>
      </c>
      <c r="C13" s="2">
        <v>45214</v>
      </c>
      <c r="D13" s="2">
        <v>45220</v>
      </c>
      <c r="E13" s="1" t="s">
        <v>45</v>
      </c>
      <c r="F13" s="1" t="s">
        <v>22</v>
      </c>
      <c r="G13" s="1" t="s">
        <v>23</v>
      </c>
      <c r="H13" s="1" t="s">
        <v>43</v>
      </c>
      <c r="I13" s="1" t="s">
        <v>48</v>
      </c>
      <c r="J13" s="1" t="s">
        <v>50</v>
      </c>
      <c r="K13" s="1" t="s">
        <v>20</v>
      </c>
      <c r="L13" s="1">
        <v>6</v>
      </c>
      <c r="M13" s="1">
        <v>272.35000000000002</v>
      </c>
      <c r="N13" s="7">
        <v>5</v>
      </c>
      <c r="O13" s="16">
        <f t="shared" si="0"/>
        <v>1634.1000000000001</v>
      </c>
      <c r="P13" s="18">
        <f t="shared" si="1"/>
        <v>81.705000000000013</v>
      </c>
      <c r="Q13" s="18">
        <f t="shared" si="2"/>
        <v>1552.3950000000002</v>
      </c>
      <c r="R13" s="14" t="str">
        <f t="shared" si="3"/>
        <v>High Sell</v>
      </c>
      <c r="S13" s="8" t="str">
        <f t="shared" si="4"/>
        <v>High</v>
      </c>
      <c r="T13" s="8" t="str">
        <f t="shared" si="5"/>
        <v>High</v>
      </c>
      <c r="U13" s="8"/>
      <c r="W13" s="8"/>
      <c r="X13" s="8" t="s">
        <v>20</v>
      </c>
      <c r="Y13" s="8">
        <v>3</v>
      </c>
      <c r="Z13" s="8">
        <f>COUNTIFS(K2:K373, X13, L2:L373,"&gt;"&amp;Y13)</f>
        <v>50</v>
      </c>
    </row>
    <row r="14" spans="1:32" ht="14.25" customHeight="1">
      <c r="A14" s="1">
        <v>10013</v>
      </c>
      <c r="B14" s="1">
        <v>1330</v>
      </c>
      <c r="C14" s="2">
        <v>45100</v>
      </c>
      <c r="D14" s="2">
        <v>45107</v>
      </c>
      <c r="E14" s="1" t="s">
        <v>15</v>
      </c>
      <c r="F14" s="1" t="s">
        <v>22</v>
      </c>
      <c r="G14" s="1" t="s">
        <v>16</v>
      </c>
      <c r="H14" s="1" t="s">
        <v>34</v>
      </c>
      <c r="I14" s="1" t="s">
        <v>18</v>
      </c>
      <c r="J14" s="1" t="s">
        <v>42</v>
      </c>
      <c r="K14" s="1" t="s">
        <v>20</v>
      </c>
      <c r="L14" s="1">
        <v>8</v>
      </c>
      <c r="M14" s="1">
        <v>3160.9</v>
      </c>
      <c r="N14" s="7">
        <v>0</v>
      </c>
      <c r="O14" s="16">
        <f t="shared" si="0"/>
        <v>25287.200000000001</v>
      </c>
      <c r="P14" s="18">
        <f t="shared" si="1"/>
        <v>0</v>
      </c>
      <c r="Q14" s="18">
        <f t="shared" si="2"/>
        <v>25287.200000000001</v>
      </c>
      <c r="R14" s="14" t="str">
        <f t="shared" si="3"/>
        <v>High Sell</v>
      </c>
      <c r="S14" s="8" t="str">
        <f t="shared" si="4"/>
        <v>High</v>
      </c>
      <c r="T14" s="8" t="str">
        <f t="shared" si="5"/>
        <v>High</v>
      </c>
      <c r="U14" s="8"/>
    </row>
    <row r="15" spans="1:32" ht="14.25" customHeight="1">
      <c r="A15" s="1">
        <v>10014</v>
      </c>
      <c r="B15" s="1">
        <v>1458</v>
      </c>
      <c r="C15" s="2">
        <v>45039</v>
      </c>
      <c r="D15" s="2">
        <v>45045</v>
      </c>
      <c r="E15" s="1" t="s">
        <v>36</v>
      </c>
      <c r="F15" s="1" t="s">
        <v>37</v>
      </c>
      <c r="G15" s="1" t="s">
        <v>29</v>
      </c>
      <c r="H15" s="1" t="s">
        <v>34</v>
      </c>
      <c r="I15" s="1" t="s">
        <v>25</v>
      </c>
      <c r="J15" s="1" t="s">
        <v>35</v>
      </c>
      <c r="K15" s="1" t="s">
        <v>27</v>
      </c>
      <c r="L15" s="1">
        <v>8</v>
      </c>
      <c r="M15" s="1">
        <v>1074.27</v>
      </c>
      <c r="N15" s="7">
        <v>15</v>
      </c>
      <c r="O15" s="16">
        <f t="shared" si="0"/>
        <v>8594.16</v>
      </c>
      <c r="P15" s="18">
        <f t="shared" si="1"/>
        <v>1289.124</v>
      </c>
      <c r="Q15" s="18">
        <f t="shared" si="2"/>
        <v>7305.0360000000001</v>
      </c>
      <c r="R15" s="14" t="str">
        <f t="shared" si="3"/>
        <v>High Sell</v>
      </c>
      <c r="S15" s="8" t="str">
        <f t="shared" si="4"/>
        <v>High</v>
      </c>
      <c r="T15" s="8" t="str">
        <f t="shared" si="5"/>
        <v>High</v>
      </c>
      <c r="U15" s="8"/>
      <c r="W15" s="12" t="s">
        <v>121</v>
      </c>
      <c r="X15" s="11">
        <f>SUM(Q2:Q373)</f>
        <v>3286225.1535000009</v>
      </c>
      <c r="Z15" s="11"/>
      <c r="AA15" s="8"/>
    </row>
    <row r="16" spans="1:32" ht="14.25" customHeight="1">
      <c r="A16" s="1">
        <v>10015</v>
      </c>
      <c r="B16" s="1">
        <v>1087</v>
      </c>
      <c r="C16" s="2">
        <v>45048</v>
      </c>
      <c r="D16" s="2">
        <v>45057</v>
      </c>
      <c r="E16" s="1" t="s">
        <v>39</v>
      </c>
      <c r="F16" s="1" t="s">
        <v>22</v>
      </c>
      <c r="G16" s="1" t="s">
        <v>23</v>
      </c>
      <c r="H16" s="1" t="s">
        <v>17</v>
      </c>
      <c r="I16" s="1" t="s">
        <v>51</v>
      </c>
      <c r="J16" s="1" t="s">
        <v>52</v>
      </c>
      <c r="K16" s="1" t="s">
        <v>20</v>
      </c>
      <c r="L16" s="1">
        <v>9</v>
      </c>
      <c r="M16" s="1">
        <v>705.59</v>
      </c>
      <c r="N16" s="7">
        <v>10</v>
      </c>
      <c r="O16" s="16">
        <f t="shared" si="0"/>
        <v>6350.31</v>
      </c>
      <c r="P16" s="18">
        <f t="shared" si="1"/>
        <v>635.03100000000006</v>
      </c>
      <c r="Q16" s="18">
        <f t="shared" si="2"/>
        <v>5715.2790000000005</v>
      </c>
      <c r="R16" s="14" t="str">
        <f t="shared" si="3"/>
        <v>High Sell</v>
      </c>
      <c r="S16" s="8" t="str">
        <f t="shared" si="4"/>
        <v>High</v>
      </c>
      <c r="T16" s="8" t="str">
        <f t="shared" si="5"/>
        <v>High</v>
      </c>
      <c r="U16" s="8"/>
    </row>
    <row r="17" spans="1:25" ht="14.25" customHeight="1">
      <c r="A17" s="1">
        <v>10016</v>
      </c>
      <c r="B17" s="1">
        <v>1372</v>
      </c>
      <c r="C17" s="2">
        <v>44958</v>
      </c>
      <c r="D17" s="2">
        <v>44961</v>
      </c>
      <c r="E17" s="1" t="s">
        <v>21</v>
      </c>
      <c r="F17" s="1" t="s">
        <v>28</v>
      </c>
      <c r="G17" s="1" t="s">
        <v>16</v>
      </c>
      <c r="H17" s="1" t="s">
        <v>41</v>
      </c>
      <c r="I17" s="1" t="s">
        <v>30</v>
      </c>
      <c r="J17" s="1" t="s">
        <v>38</v>
      </c>
      <c r="K17" s="1" t="s">
        <v>20</v>
      </c>
      <c r="L17" s="1">
        <v>8</v>
      </c>
      <c r="M17" s="1">
        <v>595.45000000000005</v>
      </c>
      <c r="N17" s="7">
        <v>5</v>
      </c>
      <c r="O17" s="16">
        <f t="shared" si="0"/>
        <v>4763.6000000000004</v>
      </c>
      <c r="P17" s="18">
        <f t="shared" si="1"/>
        <v>238.18000000000004</v>
      </c>
      <c r="Q17" s="18">
        <f t="shared" si="2"/>
        <v>4525.42</v>
      </c>
      <c r="R17" s="14" t="str">
        <f t="shared" si="3"/>
        <v>High Sell</v>
      </c>
      <c r="S17" s="8" t="str">
        <f t="shared" si="4"/>
        <v>High</v>
      </c>
      <c r="T17" s="8" t="str">
        <f t="shared" si="5"/>
        <v>High</v>
      </c>
      <c r="U17" s="8"/>
    </row>
    <row r="18" spans="1:25" ht="14.25" customHeight="1">
      <c r="A18" s="1">
        <v>10017</v>
      </c>
      <c r="B18" s="1">
        <v>1099</v>
      </c>
      <c r="C18" s="2">
        <v>45148</v>
      </c>
      <c r="D18" s="2">
        <v>45151</v>
      </c>
      <c r="E18" s="1" t="s">
        <v>15</v>
      </c>
      <c r="F18" s="1" t="s">
        <v>53</v>
      </c>
      <c r="G18" s="1" t="s">
        <v>16</v>
      </c>
      <c r="H18" s="1" t="s">
        <v>43</v>
      </c>
      <c r="I18" s="1" t="s">
        <v>30</v>
      </c>
      <c r="J18" s="1" t="s">
        <v>38</v>
      </c>
      <c r="K18" s="1" t="s">
        <v>27</v>
      </c>
      <c r="L18" s="1">
        <v>2</v>
      </c>
      <c r="M18" s="1">
        <v>254.91</v>
      </c>
      <c r="N18" s="7">
        <v>15</v>
      </c>
      <c r="O18" s="16">
        <f t="shared" si="0"/>
        <v>509.82</v>
      </c>
      <c r="P18" s="18">
        <f t="shared" si="1"/>
        <v>76.472999999999999</v>
      </c>
      <c r="Q18" s="18">
        <f t="shared" si="2"/>
        <v>433.34699999999998</v>
      </c>
      <c r="R18" s="14" t="str">
        <f t="shared" si="3"/>
        <v>Low Sell</v>
      </c>
      <c r="S18" s="8" t="str">
        <f t="shared" si="4"/>
        <v>Low</v>
      </c>
      <c r="T18" s="8" t="str">
        <f t="shared" si="5"/>
        <v>Low</v>
      </c>
      <c r="U18" s="8"/>
      <c r="W18" s="12" t="s">
        <v>10</v>
      </c>
      <c r="X18" s="12" t="s">
        <v>122</v>
      </c>
    </row>
    <row r="19" spans="1:25" ht="14.25" customHeight="1">
      <c r="A19" s="1">
        <v>10018</v>
      </c>
      <c r="B19" s="1">
        <v>1871</v>
      </c>
      <c r="C19" s="2">
        <v>45045</v>
      </c>
      <c r="D19" s="2">
        <v>45048</v>
      </c>
      <c r="E19" s="1" t="s">
        <v>14</v>
      </c>
      <c r="F19" s="1" t="s">
        <v>28</v>
      </c>
      <c r="G19" s="1" t="s">
        <v>23</v>
      </c>
      <c r="H19" s="1" t="s">
        <v>17</v>
      </c>
      <c r="I19" s="1" t="s">
        <v>18</v>
      </c>
      <c r="J19" s="1" t="s">
        <v>54</v>
      </c>
      <c r="K19" s="1" t="s">
        <v>27</v>
      </c>
      <c r="L19" s="1">
        <v>1</v>
      </c>
      <c r="M19" s="1">
        <v>2165.81</v>
      </c>
      <c r="N19" s="7">
        <v>15</v>
      </c>
      <c r="O19" s="16">
        <f t="shared" si="0"/>
        <v>2165.81</v>
      </c>
      <c r="P19" s="18">
        <f t="shared" si="1"/>
        <v>324.87149999999997</v>
      </c>
      <c r="Q19" s="18">
        <f t="shared" si="2"/>
        <v>1840.9385</v>
      </c>
      <c r="R19" s="14" t="str">
        <f t="shared" si="3"/>
        <v>Low Sell</v>
      </c>
      <c r="S19" s="8" t="str">
        <f t="shared" si="4"/>
        <v>Low</v>
      </c>
      <c r="T19" s="8" t="str">
        <f t="shared" si="5"/>
        <v>Low</v>
      </c>
      <c r="U19" s="8"/>
      <c r="W19" s="11" t="s">
        <v>20</v>
      </c>
      <c r="X19" s="8">
        <f>SUMIF(K2:K373,W19,L2:L373)</f>
        <v>369</v>
      </c>
    </row>
    <row r="20" spans="1:25" ht="14.25" customHeight="1">
      <c r="A20" s="1">
        <v>10019</v>
      </c>
      <c r="B20" s="1">
        <v>1663</v>
      </c>
      <c r="C20" s="2">
        <v>44965</v>
      </c>
      <c r="D20" s="2">
        <v>44968</v>
      </c>
      <c r="E20" s="1" t="s">
        <v>33</v>
      </c>
      <c r="F20" s="1" t="s">
        <v>37</v>
      </c>
      <c r="G20" s="1" t="s">
        <v>29</v>
      </c>
      <c r="H20" s="1" t="s">
        <v>41</v>
      </c>
      <c r="I20" s="1" t="s">
        <v>30</v>
      </c>
      <c r="J20" s="1" t="s">
        <v>38</v>
      </c>
      <c r="K20" s="1" t="s">
        <v>32</v>
      </c>
      <c r="L20" s="1">
        <v>2</v>
      </c>
      <c r="M20" s="1">
        <v>990.3</v>
      </c>
      <c r="N20" s="7">
        <v>15</v>
      </c>
      <c r="O20" s="16">
        <f t="shared" si="0"/>
        <v>1980.6</v>
      </c>
      <c r="P20" s="18">
        <f t="shared" si="1"/>
        <v>297.08999999999997</v>
      </c>
      <c r="Q20" s="18">
        <f t="shared" si="2"/>
        <v>1683.51</v>
      </c>
      <c r="R20" s="14" t="str">
        <f t="shared" si="3"/>
        <v>Low Sell</v>
      </c>
      <c r="S20" s="8" t="str">
        <f t="shared" si="4"/>
        <v>Low</v>
      </c>
      <c r="T20" s="8" t="str">
        <f t="shared" si="5"/>
        <v>Low</v>
      </c>
      <c r="U20" s="8"/>
    </row>
    <row r="21" spans="1:25" ht="14.25" customHeight="1">
      <c r="A21" s="1">
        <v>10020</v>
      </c>
      <c r="B21" s="1">
        <v>1130</v>
      </c>
      <c r="C21" s="2">
        <v>45194</v>
      </c>
      <c r="D21" s="2">
        <v>45203</v>
      </c>
      <c r="E21" s="1" t="s">
        <v>45</v>
      </c>
      <c r="F21" s="1" t="s">
        <v>37</v>
      </c>
      <c r="G21" s="1" t="s">
        <v>16</v>
      </c>
      <c r="H21" s="1" t="s">
        <v>17</v>
      </c>
      <c r="I21" s="1" t="s">
        <v>48</v>
      </c>
      <c r="J21" s="1" t="s">
        <v>50</v>
      </c>
      <c r="K21" s="1" t="s">
        <v>20</v>
      </c>
      <c r="L21" s="1">
        <v>2</v>
      </c>
      <c r="M21" s="1">
        <v>3959.31</v>
      </c>
      <c r="N21" s="7">
        <v>5</v>
      </c>
      <c r="O21" s="16">
        <f t="shared" si="0"/>
        <v>7918.62</v>
      </c>
      <c r="P21" s="18">
        <f t="shared" si="1"/>
        <v>395.93100000000004</v>
      </c>
      <c r="Q21" s="18">
        <f t="shared" si="2"/>
        <v>7522.6890000000003</v>
      </c>
      <c r="R21" s="14" t="str">
        <f t="shared" si="3"/>
        <v>Low Sell</v>
      </c>
      <c r="S21" s="8" t="str">
        <f t="shared" si="4"/>
        <v>Low</v>
      </c>
      <c r="T21" s="8" t="str">
        <f t="shared" si="5"/>
        <v>Low</v>
      </c>
      <c r="U21" s="8"/>
      <c r="W21" s="12" t="s">
        <v>8</v>
      </c>
      <c r="X21" s="12" t="s">
        <v>10</v>
      </c>
      <c r="Y21" s="12" t="s">
        <v>122</v>
      </c>
    </row>
    <row r="22" spans="1:25" ht="14.25" customHeight="1">
      <c r="A22" s="1">
        <v>10021</v>
      </c>
      <c r="B22" s="1">
        <v>1661</v>
      </c>
      <c r="C22" s="2">
        <v>45159</v>
      </c>
      <c r="D22" s="2">
        <v>45163</v>
      </c>
      <c r="E22" s="1" t="s">
        <v>45</v>
      </c>
      <c r="F22" s="1" t="s">
        <v>28</v>
      </c>
      <c r="G22" s="1" t="s">
        <v>23</v>
      </c>
      <c r="H22" s="1" t="s">
        <v>17</v>
      </c>
      <c r="I22" s="1" t="s">
        <v>51</v>
      </c>
      <c r="J22" s="1" t="s">
        <v>55</v>
      </c>
      <c r="K22" s="1" t="s">
        <v>20</v>
      </c>
      <c r="L22" s="1">
        <v>3</v>
      </c>
      <c r="M22" s="1">
        <v>2361.58</v>
      </c>
      <c r="N22" s="7">
        <v>5</v>
      </c>
      <c r="O22" s="16">
        <f t="shared" si="0"/>
        <v>7084.74</v>
      </c>
      <c r="P22" s="18">
        <f t="shared" si="1"/>
        <v>354.23700000000002</v>
      </c>
      <c r="Q22" s="18">
        <f t="shared" si="2"/>
        <v>6730.5029999999997</v>
      </c>
      <c r="R22" s="14" t="str">
        <f t="shared" si="3"/>
        <v>Low Sell</v>
      </c>
      <c r="S22" s="8" t="str">
        <f t="shared" si="4"/>
        <v>Low</v>
      </c>
      <c r="T22" s="8" t="str">
        <f t="shared" si="5"/>
        <v>Low</v>
      </c>
      <c r="U22" s="8"/>
      <c r="W22" s="8" t="s">
        <v>18</v>
      </c>
      <c r="X22" s="8" t="s">
        <v>20</v>
      </c>
      <c r="Y22" s="8">
        <f>SUMIFS(L2:L373, K2:K373,X22,I2:I373,W22)</f>
        <v>39</v>
      </c>
    </row>
    <row r="23" spans="1:25" ht="14.25" customHeight="1">
      <c r="A23" s="1">
        <v>10022</v>
      </c>
      <c r="B23" s="1">
        <v>1308</v>
      </c>
      <c r="C23" s="2">
        <v>44944</v>
      </c>
      <c r="D23" s="2">
        <v>44951</v>
      </c>
      <c r="E23" s="1" t="s">
        <v>36</v>
      </c>
      <c r="F23" s="1" t="s">
        <v>22</v>
      </c>
      <c r="G23" s="1" t="s">
        <v>29</v>
      </c>
      <c r="H23" s="1" t="s">
        <v>34</v>
      </c>
      <c r="I23" s="1" t="s">
        <v>56</v>
      </c>
      <c r="J23" s="1" t="s">
        <v>57</v>
      </c>
      <c r="K23" s="1" t="s">
        <v>32</v>
      </c>
      <c r="L23" s="1">
        <v>7</v>
      </c>
      <c r="M23" s="1">
        <v>680.86</v>
      </c>
      <c r="N23" s="7">
        <v>20</v>
      </c>
      <c r="O23" s="16">
        <f t="shared" si="0"/>
        <v>4766.0200000000004</v>
      </c>
      <c r="P23" s="18">
        <f t="shared" si="1"/>
        <v>953.20400000000018</v>
      </c>
      <c r="Q23" s="18">
        <f t="shared" si="2"/>
        <v>3812.8160000000003</v>
      </c>
      <c r="R23" s="14" t="str">
        <f t="shared" si="3"/>
        <v>High Sell</v>
      </c>
      <c r="S23" s="8" t="str">
        <f t="shared" si="4"/>
        <v>High</v>
      </c>
      <c r="T23" s="8" t="str">
        <f t="shared" si="5"/>
        <v>High</v>
      </c>
      <c r="U23" s="8"/>
    </row>
    <row r="24" spans="1:25" ht="14.25" customHeight="1">
      <c r="A24" s="1">
        <v>10023</v>
      </c>
      <c r="B24" s="1">
        <v>1769</v>
      </c>
      <c r="C24" s="2">
        <v>45075</v>
      </c>
      <c r="D24" s="2">
        <v>45084</v>
      </c>
      <c r="E24" s="1" t="s">
        <v>15</v>
      </c>
      <c r="F24" s="1" t="s">
        <v>22</v>
      </c>
      <c r="G24" s="1" t="s">
        <v>16</v>
      </c>
      <c r="H24" s="1" t="s">
        <v>41</v>
      </c>
      <c r="I24" s="1" t="s">
        <v>30</v>
      </c>
      <c r="J24" s="1" t="s">
        <v>31</v>
      </c>
      <c r="K24" s="1" t="s">
        <v>44</v>
      </c>
      <c r="L24" s="1">
        <v>2</v>
      </c>
      <c r="M24" s="1">
        <v>2801.74</v>
      </c>
      <c r="N24" s="7">
        <v>20</v>
      </c>
      <c r="O24" s="16">
        <f t="shared" si="0"/>
        <v>5603.48</v>
      </c>
      <c r="P24" s="18">
        <f t="shared" si="1"/>
        <v>1120.6959999999999</v>
      </c>
      <c r="Q24" s="18">
        <f t="shared" si="2"/>
        <v>4482.7839999999997</v>
      </c>
      <c r="R24" s="14" t="str">
        <f t="shared" si="3"/>
        <v>Low Sell</v>
      </c>
      <c r="S24" s="8" t="str">
        <f t="shared" si="4"/>
        <v>Low</v>
      </c>
      <c r="T24" s="8" t="str">
        <f t="shared" si="5"/>
        <v>Low</v>
      </c>
      <c r="U24" s="8"/>
    </row>
    <row r="25" spans="1:25" ht="14.25" customHeight="1">
      <c r="A25" s="1">
        <v>10024</v>
      </c>
      <c r="B25" s="1">
        <v>1343</v>
      </c>
      <c r="C25" s="2">
        <v>45075</v>
      </c>
      <c r="D25" s="2">
        <v>45082</v>
      </c>
      <c r="E25" s="1" t="s">
        <v>21</v>
      </c>
      <c r="F25" s="1" t="s">
        <v>40</v>
      </c>
      <c r="G25" s="1" t="s">
        <v>16</v>
      </c>
      <c r="H25" s="1" t="s">
        <v>43</v>
      </c>
      <c r="I25" s="1" t="s">
        <v>48</v>
      </c>
      <c r="J25" s="1" t="s">
        <v>50</v>
      </c>
      <c r="K25" s="1" t="s">
        <v>44</v>
      </c>
      <c r="L25" s="1">
        <v>1</v>
      </c>
      <c r="M25" s="1">
        <v>3606.31</v>
      </c>
      <c r="N25" s="7">
        <v>0</v>
      </c>
      <c r="O25" s="16">
        <f t="shared" si="0"/>
        <v>3606.31</v>
      </c>
      <c r="P25" s="18">
        <f t="shared" si="1"/>
        <v>0</v>
      </c>
      <c r="Q25" s="18">
        <f t="shared" si="2"/>
        <v>3606.31</v>
      </c>
      <c r="R25" s="14" t="str">
        <f t="shared" si="3"/>
        <v>Low Sell</v>
      </c>
      <c r="S25" s="8" t="str">
        <f t="shared" si="4"/>
        <v>Low</v>
      </c>
      <c r="T25" s="8" t="str">
        <f t="shared" si="5"/>
        <v>Low</v>
      </c>
      <c r="U25" s="8"/>
      <c r="W25" s="4" t="s">
        <v>121</v>
      </c>
      <c r="X25">
        <f>SUM(O2:O373)</f>
        <v>3664518.5400000005</v>
      </c>
    </row>
    <row r="26" spans="1:25" ht="14.25" customHeight="1">
      <c r="A26" s="1">
        <v>10025</v>
      </c>
      <c r="B26" s="1">
        <v>1491</v>
      </c>
      <c r="C26" s="2">
        <v>45052</v>
      </c>
      <c r="D26" s="2">
        <v>45061</v>
      </c>
      <c r="E26" s="1" t="s">
        <v>36</v>
      </c>
      <c r="F26" s="1" t="s">
        <v>37</v>
      </c>
      <c r="G26" s="1" t="s">
        <v>29</v>
      </c>
      <c r="H26" s="1" t="s">
        <v>43</v>
      </c>
      <c r="I26" s="1" t="s">
        <v>56</v>
      </c>
      <c r="J26" s="1" t="s">
        <v>58</v>
      </c>
      <c r="K26" s="1" t="s">
        <v>44</v>
      </c>
      <c r="L26" s="1">
        <v>6</v>
      </c>
      <c r="M26" s="1">
        <v>3018.94</v>
      </c>
      <c r="N26" s="7">
        <v>5</v>
      </c>
      <c r="O26" s="16">
        <f t="shared" si="0"/>
        <v>18113.64</v>
      </c>
      <c r="P26" s="18">
        <f t="shared" si="1"/>
        <v>905.68200000000002</v>
      </c>
      <c r="Q26" s="18">
        <f t="shared" si="2"/>
        <v>17207.957999999999</v>
      </c>
      <c r="R26" s="14" t="str">
        <f t="shared" si="3"/>
        <v>High Sell</v>
      </c>
      <c r="S26" s="8" t="str">
        <f t="shared" si="4"/>
        <v>High</v>
      </c>
      <c r="T26" s="8" t="str">
        <f t="shared" si="5"/>
        <v>High</v>
      </c>
      <c r="U26" s="8"/>
    </row>
    <row r="27" spans="1:25" ht="14.25" customHeight="1">
      <c r="A27" s="1">
        <v>10026</v>
      </c>
      <c r="B27" s="1">
        <v>1413</v>
      </c>
      <c r="C27" s="2">
        <v>45228</v>
      </c>
      <c r="D27" s="2">
        <v>45231</v>
      </c>
      <c r="E27" s="1" t="s">
        <v>33</v>
      </c>
      <c r="F27" s="1" t="s">
        <v>15</v>
      </c>
      <c r="G27" s="1" t="s">
        <v>29</v>
      </c>
      <c r="H27" s="1" t="s">
        <v>41</v>
      </c>
      <c r="I27" s="1" t="s">
        <v>51</v>
      </c>
      <c r="J27" s="1" t="s">
        <v>59</v>
      </c>
      <c r="K27" s="1" t="s">
        <v>32</v>
      </c>
      <c r="L27" s="1">
        <v>9</v>
      </c>
      <c r="M27" s="1">
        <v>444.29</v>
      </c>
      <c r="N27" s="7">
        <v>5</v>
      </c>
      <c r="O27" s="16">
        <f t="shared" si="0"/>
        <v>3998.61</v>
      </c>
      <c r="P27" s="18">
        <f t="shared" si="1"/>
        <v>199.93050000000002</v>
      </c>
      <c r="Q27" s="18">
        <f t="shared" si="2"/>
        <v>3798.6795000000002</v>
      </c>
      <c r="R27" s="14" t="str">
        <f t="shared" si="3"/>
        <v>High Sell</v>
      </c>
      <c r="S27" s="8" t="str">
        <f t="shared" si="4"/>
        <v>High</v>
      </c>
      <c r="T27" s="8" t="str">
        <f t="shared" si="5"/>
        <v>High</v>
      </c>
      <c r="U27" s="8"/>
    </row>
    <row r="28" spans="1:25" ht="14.25" customHeight="1">
      <c r="A28" s="1">
        <v>10027</v>
      </c>
      <c r="B28" s="1">
        <v>1805</v>
      </c>
      <c r="C28" s="2">
        <v>45286</v>
      </c>
      <c r="D28" s="2">
        <v>45290</v>
      </c>
      <c r="E28" s="1" t="s">
        <v>36</v>
      </c>
      <c r="F28" s="1" t="s">
        <v>40</v>
      </c>
      <c r="G28" s="1" t="s">
        <v>23</v>
      </c>
      <c r="H28" s="1" t="s">
        <v>34</v>
      </c>
      <c r="I28" s="1" t="s">
        <v>56</v>
      </c>
      <c r="J28" s="1" t="s">
        <v>57</v>
      </c>
      <c r="K28" s="1" t="s">
        <v>20</v>
      </c>
      <c r="L28" s="1">
        <v>3</v>
      </c>
      <c r="M28" s="1">
        <v>3599.15</v>
      </c>
      <c r="N28" s="7">
        <v>5</v>
      </c>
      <c r="O28" s="16">
        <f t="shared" si="0"/>
        <v>10797.45</v>
      </c>
      <c r="P28" s="18">
        <f t="shared" si="1"/>
        <v>539.87250000000006</v>
      </c>
      <c r="Q28" s="18">
        <f t="shared" si="2"/>
        <v>10257.577500000001</v>
      </c>
      <c r="R28" s="14" t="str">
        <f t="shared" si="3"/>
        <v>Low Sell</v>
      </c>
      <c r="S28" s="8" t="str">
        <f t="shared" si="4"/>
        <v>Low</v>
      </c>
      <c r="T28" s="8" t="str">
        <f t="shared" si="5"/>
        <v>Low</v>
      </c>
      <c r="U28" s="8"/>
      <c r="W28" s="4" t="s">
        <v>121</v>
      </c>
      <c r="X28">
        <f>SUMPRODUCT(L2:L373,M2:M373)</f>
        <v>3664518.5400000005</v>
      </c>
    </row>
    <row r="29" spans="1:25" ht="14.25" customHeight="1">
      <c r="A29" s="1">
        <v>10028</v>
      </c>
      <c r="B29" s="1">
        <v>1385</v>
      </c>
      <c r="C29" s="2">
        <v>45164</v>
      </c>
      <c r="D29" s="2">
        <v>45172</v>
      </c>
      <c r="E29" s="1" t="s">
        <v>39</v>
      </c>
      <c r="F29" s="1" t="s">
        <v>22</v>
      </c>
      <c r="G29" s="1" t="s">
        <v>23</v>
      </c>
      <c r="H29" s="1" t="s">
        <v>24</v>
      </c>
      <c r="I29" s="1" t="s">
        <v>48</v>
      </c>
      <c r="J29" s="1" t="s">
        <v>50</v>
      </c>
      <c r="K29" s="1" t="s">
        <v>32</v>
      </c>
      <c r="L29" s="1">
        <v>6</v>
      </c>
      <c r="M29" s="1">
        <v>3206.63</v>
      </c>
      <c r="N29" s="7">
        <v>20</v>
      </c>
      <c r="O29" s="16">
        <f t="shared" si="0"/>
        <v>19239.78</v>
      </c>
      <c r="P29" s="18">
        <f t="shared" si="1"/>
        <v>3847.9560000000001</v>
      </c>
      <c r="Q29" s="18">
        <f t="shared" si="2"/>
        <v>15391.823999999999</v>
      </c>
      <c r="R29" s="14" t="str">
        <f t="shared" si="3"/>
        <v>High Sell</v>
      </c>
      <c r="S29" s="8" t="str">
        <f t="shared" si="4"/>
        <v>High</v>
      </c>
      <c r="T29" s="8" t="str">
        <f t="shared" si="5"/>
        <v>High</v>
      </c>
      <c r="U29" s="8"/>
    </row>
    <row r="30" spans="1:25" ht="14.25" customHeight="1">
      <c r="A30" s="1">
        <v>10029</v>
      </c>
      <c r="B30" s="1">
        <v>1191</v>
      </c>
      <c r="C30" s="2">
        <v>45061</v>
      </c>
      <c r="D30" s="2">
        <v>45067</v>
      </c>
      <c r="E30" s="1" t="s">
        <v>45</v>
      </c>
      <c r="F30" s="1" t="s">
        <v>28</v>
      </c>
      <c r="G30" s="1" t="s">
        <v>16</v>
      </c>
      <c r="H30" s="1" t="s">
        <v>17</v>
      </c>
      <c r="I30" s="1" t="s">
        <v>25</v>
      </c>
      <c r="J30" s="1" t="s">
        <v>26</v>
      </c>
      <c r="K30" s="1" t="s">
        <v>32</v>
      </c>
      <c r="L30" s="1">
        <v>3</v>
      </c>
      <c r="M30" s="1">
        <v>759.47</v>
      </c>
      <c r="N30" s="7">
        <v>15</v>
      </c>
      <c r="O30" s="16">
        <f t="shared" si="0"/>
        <v>2278.41</v>
      </c>
      <c r="P30" s="18">
        <f t="shared" si="1"/>
        <v>341.76149999999996</v>
      </c>
      <c r="Q30" s="18">
        <f t="shared" si="2"/>
        <v>1936.6484999999998</v>
      </c>
      <c r="R30" s="14" t="str">
        <f t="shared" si="3"/>
        <v>Low Sell</v>
      </c>
      <c r="S30" s="8" t="str">
        <f t="shared" si="4"/>
        <v>Low</v>
      </c>
      <c r="T30" s="8" t="str">
        <f t="shared" si="5"/>
        <v>Low</v>
      </c>
      <c r="U30" s="8"/>
    </row>
    <row r="31" spans="1:25" ht="14.25" customHeight="1">
      <c r="A31" s="1">
        <v>10030</v>
      </c>
      <c r="B31" s="1">
        <v>1955</v>
      </c>
      <c r="C31" s="2">
        <v>45077</v>
      </c>
      <c r="D31" s="2">
        <v>45082</v>
      </c>
      <c r="E31" s="1" t="s">
        <v>45</v>
      </c>
      <c r="F31" s="1" t="s">
        <v>22</v>
      </c>
      <c r="G31" s="1" t="s">
        <v>29</v>
      </c>
      <c r="H31" s="1" t="s">
        <v>34</v>
      </c>
      <c r="I31" s="1" t="s">
        <v>25</v>
      </c>
      <c r="J31" s="1" t="s">
        <v>60</v>
      </c>
      <c r="K31" s="1" t="s">
        <v>44</v>
      </c>
      <c r="L31" s="1">
        <v>1</v>
      </c>
      <c r="M31" s="1">
        <v>349.38</v>
      </c>
      <c r="N31" s="7">
        <v>10</v>
      </c>
      <c r="O31" s="16">
        <f t="shared" si="0"/>
        <v>349.38</v>
      </c>
      <c r="P31" s="18">
        <f t="shared" si="1"/>
        <v>34.938000000000002</v>
      </c>
      <c r="Q31" s="18">
        <f t="shared" si="2"/>
        <v>314.44200000000001</v>
      </c>
      <c r="R31" s="14" t="str">
        <f t="shared" si="3"/>
        <v>Low Sell</v>
      </c>
      <c r="S31" s="8" t="str">
        <f t="shared" si="4"/>
        <v>Low</v>
      </c>
      <c r="T31" s="8" t="str">
        <f t="shared" si="5"/>
        <v>Low</v>
      </c>
      <c r="U31" s="8"/>
      <c r="W31" s="12" t="s">
        <v>10</v>
      </c>
      <c r="X31" s="12" t="s">
        <v>123</v>
      </c>
    </row>
    <row r="32" spans="1:25" ht="14.25" customHeight="1">
      <c r="A32" s="1">
        <v>10031</v>
      </c>
      <c r="B32" s="1">
        <v>1276</v>
      </c>
      <c r="C32" s="2">
        <v>45162</v>
      </c>
      <c r="D32" s="2">
        <v>45166</v>
      </c>
      <c r="E32" s="1" t="s">
        <v>14</v>
      </c>
      <c r="F32" s="1" t="s">
        <v>28</v>
      </c>
      <c r="G32" s="1" t="s">
        <v>29</v>
      </c>
      <c r="H32" s="1" t="s">
        <v>41</v>
      </c>
      <c r="I32" s="1" t="s">
        <v>56</v>
      </c>
      <c r="J32" s="1" t="s">
        <v>61</v>
      </c>
      <c r="K32" s="1" t="s">
        <v>46</v>
      </c>
      <c r="L32" s="1">
        <v>5</v>
      </c>
      <c r="M32" s="1">
        <v>2295.65</v>
      </c>
      <c r="N32" s="7">
        <v>20</v>
      </c>
      <c r="O32" s="16">
        <f t="shared" si="0"/>
        <v>11478.25</v>
      </c>
      <c r="P32" s="18">
        <f t="shared" si="1"/>
        <v>2295.65</v>
      </c>
      <c r="Q32" s="18">
        <f t="shared" si="2"/>
        <v>9182.6</v>
      </c>
      <c r="R32" s="14" t="str">
        <f t="shared" si="3"/>
        <v>High Sell</v>
      </c>
      <c r="S32" s="8" t="str">
        <f t="shared" si="4"/>
        <v>Medium</v>
      </c>
      <c r="T32" s="8" t="str">
        <f t="shared" si="5"/>
        <v>Medium</v>
      </c>
      <c r="U32" s="8"/>
      <c r="W32" s="8" t="s">
        <v>27</v>
      </c>
      <c r="X32" s="8">
        <f>SUMPRODUCT(L2:L373,M2:M373,--(K2:K373=W32))</f>
        <v>608728.77999999991</v>
      </c>
    </row>
    <row r="33" spans="1:28" ht="14.25" customHeight="1">
      <c r="A33" s="1">
        <v>10032</v>
      </c>
      <c r="B33" s="1">
        <v>1160</v>
      </c>
      <c r="C33" s="2">
        <v>45150</v>
      </c>
      <c r="D33" s="2">
        <v>45158</v>
      </c>
      <c r="E33" s="1" t="s">
        <v>14</v>
      </c>
      <c r="F33" s="1" t="s">
        <v>40</v>
      </c>
      <c r="G33" s="1" t="s">
        <v>29</v>
      </c>
      <c r="H33" s="1" t="s">
        <v>17</v>
      </c>
      <c r="I33" s="1" t="s">
        <v>18</v>
      </c>
      <c r="J33" s="1" t="s">
        <v>42</v>
      </c>
      <c r="K33" s="1" t="s">
        <v>20</v>
      </c>
      <c r="L33" s="1">
        <v>4</v>
      </c>
      <c r="M33" s="1">
        <v>750.74</v>
      </c>
      <c r="N33" s="7">
        <v>5</v>
      </c>
      <c r="O33" s="16">
        <f t="shared" si="0"/>
        <v>3002.96</v>
      </c>
      <c r="P33" s="18">
        <f t="shared" si="1"/>
        <v>150.148</v>
      </c>
      <c r="Q33" s="18">
        <f t="shared" si="2"/>
        <v>2852.8119999999999</v>
      </c>
      <c r="R33" s="14" t="str">
        <f t="shared" si="3"/>
        <v>Low Sell</v>
      </c>
      <c r="S33" s="8" t="str">
        <f t="shared" si="4"/>
        <v>Low</v>
      </c>
      <c r="T33" s="8" t="str">
        <f t="shared" si="5"/>
        <v>Low</v>
      </c>
      <c r="U33" s="8"/>
    </row>
    <row r="34" spans="1:28" ht="14.25" customHeight="1">
      <c r="A34" s="1">
        <v>10033</v>
      </c>
      <c r="B34" s="1">
        <v>1459</v>
      </c>
      <c r="C34" s="2">
        <v>45129</v>
      </c>
      <c r="D34" s="2">
        <v>45130</v>
      </c>
      <c r="E34" s="1" t="s">
        <v>21</v>
      </c>
      <c r="F34" s="1" t="s">
        <v>37</v>
      </c>
      <c r="G34" s="1" t="s">
        <v>16</v>
      </c>
      <c r="H34" s="1" t="s">
        <v>43</v>
      </c>
      <c r="I34" s="1" t="s">
        <v>56</v>
      </c>
      <c r="J34" s="1" t="s">
        <v>58</v>
      </c>
      <c r="K34" s="1" t="s">
        <v>44</v>
      </c>
      <c r="L34" s="1">
        <v>7</v>
      </c>
      <c r="M34" s="1">
        <v>3363.18</v>
      </c>
      <c r="N34" s="7">
        <v>20</v>
      </c>
      <c r="O34" s="16">
        <f t="shared" si="0"/>
        <v>23542.26</v>
      </c>
      <c r="P34" s="18">
        <f t="shared" si="1"/>
        <v>4708.4520000000002</v>
      </c>
      <c r="Q34" s="18">
        <f t="shared" si="2"/>
        <v>18833.807999999997</v>
      </c>
      <c r="R34" s="14" t="str">
        <f t="shared" si="3"/>
        <v>High Sell</v>
      </c>
      <c r="S34" s="8" t="str">
        <f t="shared" si="4"/>
        <v>High</v>
      </c>
      <c r="T34" s="8" t="str">
        <f t="shared" si="5"/>
        <v>High</v>
      </c>
      <c r="U34" s="8"/>
    </row>
    <row r="35" spans="1:28" ht="14.25" customHeight="1">
      <c r="A35" s="1">
        <v>10034</v>
      </c>
      <c r="B35" s="1">
        <v>1313</v>
      </c>
      <c r="C35" s="2">
        <v>45182</v>
      </c>
      <c r="D35" s="2">
        <v>45191</v>
      </c>
      <c r="E35" s="1" t="s">
        <v>33</v>
      </c>
      <c r="F35" s="1" t="s">
        <v>22</v>
      </c>
      <c r="G35" s="1" t="s">
        <v>29</v>
      </c>
      <c r="H35" s="1" t="s">
        <v>24</v>
      </c>
      <c r="I35" s="1" t="s">
        <v>30</v>
      </c>
      <c r="J35" s="1" t="s">
        <v>47</v>
      </c>
      <c r="K35" s="1" t="s">
        <v>46</v>
      </c>
      <c r="L35" s="1">
        <v>6</v>
      </c>
      <c r="M35" s="1">
        <v>1529.59</v>
      </c>
      <c r="N35" s="7">
        <v>0</v>
      </c>
      <c r="O35" s="16">
        <f t="shared" si="0"/>
        <v>9177.5399999999991</v>
      </c>
      <c r="P35" s="18">
        <f t="shared" si="1"/>
        <v>0</v>
      </c>
      <c r="Q35" s="18">
        <f t="shared" si="2"/>
        <v>9177.5399999999991</v>
      </c>
      <c r="R35" s="14" t="str">
        <f t="shared" si="3"/>
        <v>High Sell</v>
      </c>
      <c r="S35" s="8" t="str">
        <f t="shared" si="4"/>
        <v>High</v>
      </c>
      <c r="T35" s="8" t="str">
        <f t="shared" si="5"/>
        <v>High</v>
      </c>
      <c r="U35" s="8"/>
    </row>
    <row r="36" spans="1:28" ht="14.25" customHeight="1">
      <c r="A36" s="1">
        <v>10035</v>
      </c>
      <c r="B36" s="1">
        <v>1021</v>
      </c>
      <c r="C36" s="2">
        <v>45012</v>
      </c>
      <c r="D36" s="2">
        <v>45013</v>
      </c>
      <c r="E36" s="1" t="s">
        <v>39</v>
      </c>
      <c r="F36" s="1" t="s">
        <v>28</v>
      </c>
      <c r="G36" s="1" t="s">
        <v>29</v>
      </c>
      <c r="H36" s="1" t="s">
        <v>43</v>
      </c>
      <c r="I36" s="1" t="s">
        <v>30</v>
      </c>
      <c r="J36" s="1" t="s">
        <v>47</v>
      </c>
      <c r="K36" s="1" t="s">
        <v>46</v>
      </c>
      <c r="L36" s="1">
        <v>7</v>
      </c>
      <c r="M36" s="1">
        <v>3664.64</v>
      </c>
      <c r="N36" s="7">
        <v>5</v>
      </c>
      <c r="O36" s="16">
        <f t="shared" si="0"/>
        <v>25652.48</v>
      </c>
      <c r="P36" s="18">
        <f t="shared" si="1"/>
        <v>1282.624</v>
      </c>
      <c r="Q36" s="18">
        <f t="shared" si="2"/>
        <v>24369.856</v>
      </c>
      <c r="R36" s="14" t="str">
        <f t="shared" si="3"/>
        <v>High Sell</v>
      </c>
      <c r="S36" s="8" t="str">
        <f t="shared" si="4"/>
        <v>High</v>
      </c>
      <c r="T36" s="8" t="str">
        <f t="shared" si="5"/>
        <v>High</v>
      </c>
      <c r="U36" s="8"/>
      <c r="Y36" s="5"/>
    </row>
    <row r="37" spans="1:28" ht="14.25" customHeight="1">
      <c r="A37" s="1">
        <v>10036</v>
      </c>
      <c r="B37" s="1">
        <v>1252</v>
      </c>
      <c r="C37" s="2">
        <v>45076</v>
      </c>
      <c r="D37" s="2">
        <v>45084</v>
      </c>
      <c r="E37" s="1" t="s">
        <v>15</v>
      </c>
      <c r="F37" s="1" t="s">
        <v>37</v>
      </c>
      <c r="G37" s="1" t="s">
        <v>16</v>
      </c>
      <c r="H37" s="1" t="s">
        <v>41</v>
      </c>
      <c r="I37" s="1" t="s">
        <v>25</v>
      </c>
      <c r="J37" s="1" t="s">
        <v>26</v>
      </c>
      <c r="K37" s="1" t="s">
        <v>27</v>
      </c>
      <c r="L37" s="1">
        <v>5</v>
      </c>
      <c r="M37" s="1">
        <v>2327.9</v>
      </c>
      <c r="N37" s="7">
        <v>0</v>
      </c>
      <c r="O37" s="16">
        <f t="shared" si="0"/>
        <v>11639.5</v>
      </c>
      <c r="P37" s="18">
        <f t="shared" si="1"/>
        <v>0</v>
      </c>
      <c r="Q37" s="18">
        <f t="shared" si="2"/>
        <v>11639.5</v>
      </c>
      <c r="R37" s="14" t="str">
        <f t="shared" si="3"/>
        <v>High Sell</v>
      </c>
      <c r="S37" s="8" t="str">
        <f t="shared" si="4"/>
        <v>Medium</v>
      </c>
      <c r="T37" s="8" t="str">
        <f t="shared" si="5"/>
        <v>Medium</v>
      </c>
      <c r="U37" s="8"/>
    </row>
    <row r="38" spans="1:28" ht="14.25" customHeight="1">
      <c r="A38" s="1">
        <v>10037</v>
      </c>
      <c r="B38" s="1">
        <v>1747</v>
      </c>
      <c r="C38" s="2">
        <v>45161</v>
      </c>
      <c r="D38" s="2">
        <v>45165</v>
      </c>
      <c r="E38" s="1" t="s">
        <v>36</v>
      </c>
      <c r="F38" s="1" t="s">
        <v>15</v>
      </c>
      <c r="G38" s="1" t="s">
        <v>23</v>
      </c>
      <c r="H38" s="1" t="s">
        <v>17</v>
      </c>
      <c r="I38" s="1" t="s">
        <v>18</v>
      </c>
      <c r="J38" s="1" t="s">
        <v>54</v>
      </c>
      <c r="K38" s="1" t="s">
        <v>20</v>
      </c>
      <c r="L38" s="1">
        <v>4</v>
      </c>
      <c r="M38" s="1">
        <v>853.29</v>
      </c>
      <c r="N38" s="7">
        <v>5</v>
      </c>
      <c r="O38" s="16">
        <f t="shared" si="0"/>
        <v>3413.16</v>
      </c>
      <c r="P38" s="18">
        <f t="shared" si="1"/>
        <v>170.65800000000002</v>
      </c>
      <c r="Q38" s="18">
        <f t="shared" si="2"/>
        <v>3242.502</v>
      </c>
      <c r="R38" s="14" t="str">
        <f t="shared" si="3"/>
        <v>Low Sell</v>
      </c>
      <c r="S38" s="8" t="str">
        <f t="shared" si="4"/>
        <v>Low</v>
      </c>
      <c r="T38" s="8" t="str">
        <f t="shared" si="5"/>
        <v>Low</v>
      </c>
      <c r="U38" s="8"/>
    </row>
    <row r="39" spans="1:28" ht="14.25" customHeight="1">
      <c r="A39" s="1">
        <v>10038</v>
      </c>
      <c r="B39" s="1">
        <v>1856</v>
      </c>
      <c r="C39" s="2">
        <v>45271</v>
      </c>
      <c r="D39" s="2">
        <v>45280</v>
      </c>
      <c r="E39" s="1" t="s">
        <v>21</v>
      </c>
      <c r="F39" s="1" t="s">
        <v>28</v>
      </c>
      <c r="G39" s="1" t="s">
        <v>23</v>
      </c>
      <c r="H39" s="1" t="s">
        <v>41</v>
      </c>
      <c r="I39" s="1" t="s">
        <v>48</v>
      </c>
      <c r="J39" s="1" t="s">
        <v>62</v>
      </c>
      <c r="K39" s="1" t="s">
        <v>46</v>
      </c>
      <c r="L39" s="1">
        <v>7</v>
      </c>
      <c r="M39" s="1">
        <v>687.46</v>
      </c>
      <c r="N39" s="7">
        <v>20</v>
      </c>
      <c r="O39" s="16">
        <f t="shared" si="0"/>
        <v>4812.22</v>
      </c>
      <c r="P39" s="18">
        <f t="shared" si="1"/>
        <v>962.44400000000007</v>
      </c>
      <c r="Q39" s="18">
        <f t="shared" si="2"/>
        <v>3849.7760000000003</v>
      </c>
      <c r="R39" s="14" t="str">
        <f t="shared" si="3"/>
        <v>High Sell</v>
      </c>
      <c r="S39" s="8" t="str">
        <f t="shared" si="4"/>
        <v>High</v>
      </c>
      <c r="T39" s="8" t="str">
        <f t="shared" si="5"/>
        <v>High</v>
      </c>
      <c r="U39" s="8"/>
    </row>
    <row r="40" spans="1:28" ht="14.25" customHeight="1">
      <c r="A40" s="1">
        <v>10039</v>
      </c>
      <c r="B40" s="1">
        <v>1560</v>
      </c>
      <c r="C40" s="2">
        <v>44948</v>
      </c>
      <c r="D40" s="2">
        <v>44953</v>
      </c>
      <c r="E40" s="1" t="s">
        <v>33</v>
      </c>
      <c r="F40" s="1" t="s">
        <v>40</v>
      </c>
      <c r="G40" s="1" t="s">
        <v>16</v>
      </c>
      <c r="H40" s="1" t="s">
        <v>17</v>
      </c>
      <c r="I40" s="1" t="s">
        <v>30</v>
      </c>
      <c r="J40" s="1" t="s">
        <v>47</v>
      </c>
      <c r="K40" s="1" t="s">
        <v>44</v>
      </c>
      <c r="L40" s="1">
        <v>7</v>
      </c>
      <c r="M40" s="1">
        <v>2369.42</v>
      </c>
      <c r="N40" s="7">
        <v>15</v>
      </c>
      <c r="O40" s="16">
        <f t="shared" si="0"/>
        <v>16585.940000000002</v>
      </c>
      <c r="P40" s="18">
        <f t="shared" si="1"/>
        <v>2487.8910000000001</v>
      </c>
      <c r="Q40" s="18">
        <f t="shared" si="2"/>
        <v>14098.049000000003</v>
      </c>
      <c r="R40" s="14" t="str">
        <f t="shared" si="3"/>
        <v>High Sell</v>
      </c>
      <c r="S40" s="8" t="str">
        <f t="shared" si="4"/>
        <v>High</v>
      </c>
      <c r="T40" s="8" t="str">
        <f t="shared" si="5"/>
        <v>High</v>
      </c>
      <c r="U40" s="8"/>
      <c r="Z40" s="4" t="s">
        <v>10</v>
      </c>
      <c r="AA40" s="4" t="s">
        <v>124</v>
      </c>
      <c r="AB40" s="4" t="s">
        <v>125</v>
      </c>
    </row>
    <row r="41" spans="1:28" ht="14.25" customHeight="1">
      <c r="A41" s="1">
        <v>10040</v>
      </c>
      <c r="B41" s="1">
        <v>1474</v>
      </c>
      <c r="C41" s="2">
        <v>45274</v>
      </c>
      <c r="D41" s="2">
        <v>45277</v>
      </c>
      <c r="E41" s="1" t="s">
        <v>14</v>
      </c>
      <c r="F41" s="1" t="s">
        <v>15</v>
      </c>
      <c r="G41" s="1" t="s">
        <v>29</v>
      </c>
      <c r="H41" s="1" t="s">
        <v>34</v>
      </c>
      <c r="I41" s="1" t="s">
        <v>25</v>
      </c>
      <c r="J41" s="1" t="s">
        <v>26</v>
      </c>
      <c r="K41" s="1" t="s">
        <v>27</v>
      </c>
      <c r="L41" s="1">
        <v>6</v>
      </c>
      <c r="M41" s="1">
        <v>3083.25</v>
      </c>
      <c r="N41" s="7">
        <v>10</v>
      </c>
      <c r="O41" s="16">
        <f t="shared" si="0"/>
        <v>18499.5</v>
      </c>
      <c r="P41" s="18">
        <f t="shared" si="1"/>
        <v>1849.95</v>
      </c>
      <c r="Q41" s="18">
        <f t="shared" si="2"/>
        <v>16649.55</v>
      </c>
      <c r="R41" s="14" t="str">
        <f t="shared" si="3"/>
        <v>High Sell</v>
      </c>
      <c r="S41" s="8" t="str">
        <f t="shared" si="4"/>
        <v>High</v>
      </c>
      <c r="T41" s="8" t="str">
        <f t="shared" si="5"/>
        <v>High</v>
      </c>
      <c r="U41" s="8"/>
      <c r="Z41" t="s">
        <v>27</v>
      </c>
      <c r="AA41" s="20">
        <f>AVERAGEIF(K2:K373,Z41,L2:L373)</f>
        <v>5.0163934426229506</v>
      </c>
      <c r="AB41" s="5"/>
    </row>
    <row r="42" spans="1:28" ht="14.25" customHeight="1">
      <c r="A42" s="1">
        <v>10041</v>
      </c>
      <c r="B42" s="1">
        <v>1058</v>
      </c>
      <c r="C42" s="2">
        <v>45211</v>
      </c>
      <c r="D42" s="2">
        <v>45220</v>
      </c>
      <c r="E42" s="1" t="s">
        <v>36</v>
      </c>
      <c r="F42" s="1" t="s">
        <v>15</v>
      </c>
      <c r="G42" s="1" t="s">
        <v>16</v>
      </c>
      <c r="H42" s="1" t="s">
        <v>24</v>
      </c>
      <c r="I42" s="1" t="s">
        <v>51</v>
      </c>
      <c r="J42" s="1" t="s">
        <v>63</v>
      </c>
      <c r="K42" s="1" t="s">
        <v>20</v>
      </c>
      <c r="L42" s="1">
        <v>8</v>
      </c>
      <c r="M42" s="1">
        <v>3158.8</v>
      </c>
      <c r="N42" s="7">
        <v>0</v>
      </c>
      <c r="O42" s="16">
        <f t="shared" si="0"/>
        <v>25270.400000000001</v>
      </c>
      <c r="P42" s="18">
        <f t="shared" si="1"/>
        <v>0</v>
      </c>
      <c r="Q42" s="18">
        <f t="shared" si="2"/>
        <v>25270.400000000001</v>
      </c>
      <c r="R42" s="14" t="str">
        <f t="shared" si="3"/>
        <v>High Sell</v>
      </c>
      <c r="S42" s="8" t="str">
        <f t="shared" si="4"/>
        <v>High</v>
      </c>
      <c r="T42" s="8" t="str">
        <f t="shared" si="5"/>
        <v>High</v>
      </c>
      <c r="U42" s="8"/>
    </row>
    <row r="43" spans="1:28" ht="14.25" customHeight="1">
      <c r="A43" s="1">
        <v>10042</v>
      </c>
      <c r="B43" s="1">
        <v>1510</v>
      </c>
      <c r="C43" s="2">
        <v>45195</v>
      </c>
      <c r="D43" s="2">
        <v>45204</v>
      </c>
      <c r="E43" s="1" t="s">
        <v>14</v>
      </c>
      <c r="F43" s="1" t="s">
        <v>53</v>
      </c>
      <c r="G43" s="1" t="s">
        <v>23</v>
      </c>
      <c r="H43" s="1" t="s">
        <v>34</v>
      </c>
      <c r="I43" s="1" t="s">
        <v>25</v>
      </c>
      <c r="J43" s="1" t="s">
        <v>26</v>
      </c>
      <c r="K43" s="1" t="s">
        <v>32</v>
      </c>
      <c r="L43" s="1">
        <v>4</v>
      </c>
      <c r="M43" s="1">
        <v>1211.67</v>
      </c>
      <c r="N43" s="7">
        <v>20</v>
      </c>
      <c r="O43" s="16">
        <f t="shared" si="0"/>
        <v>4846.68</v>
      </c>
      <c r="P43" s="18">
        <f t="shared" si="1"/>
        <v>969.33600000000013</v>
      </c>
      <c r="Q43" s="18">
        <f t="shared" si="2"/>
        <v>3877.3440000000001</v>
      </c>
      <c r="R43" s="14" t="str">
        <f t="shared" si="3"/>
        <v>Low Sell</v>
      </c>
      <c r="S43" s="8" t="str">
        <f t="shared" si="4"/>
        <v>Low</v>
      </c>
      <c r="T43" s="8" t="str">
        <f t="shared" si="5"/>
        <v>Low</v>
      </c>
      <c r="U43" s="8"/>
    </row>
    <row r="44" spans="1:28" ht="14.25" customHeight="1">
      <c r="A44" s="1">
        <v>10043</v>
      </c>
      <c r="B44" s="1">
        <v>1681</v>
      </c>
      <c r="C44" s="2">
        <v>45184</v>
      </c>
      <c r="D44" s="2">
        <v>45188</v>
      </c>
      <c r="E44" s="1" t="s">
        <v>36</v>
      </c>
      <c r="F44" s="1" t="s">
        <v>22</v>
      </c>
      <c r="G44" s="1" t="s">
        <v>23</v>
      </c>
      <c r="H44" s="1" t="s">
        <v>34</v>
      </c>
      <c r="I44" s="1" t="s">
        <v>30</v>
      </c>
      <c r="J44" s="1" t="s">
        <v>47</v>
      </c>
      <c r="K44" s="1" t="s">
        <v>44</v>
      </c>
      <c r="L44" s="1">
        <v>5</v>
      </c>
      <c r="M44" s="1">
        <v>936.35</v>
      </c>
      <c r="N44" s="7">
        <v>15</v>
      </c>
      <c r="O44" s="16">
        <f t="shared" si="0"/>
        <v>4681.75</v>
      </c>
      <c r="P44" s="18">
        <f t="shared" si="1"/>
        <v>702.26249999999993</v>
      </c>
      <c r="Q44" s="18">
        <f t="shared" si="2"/>
        <v>3979.4875000000002</v>
      </c>
      <c r="R44" s="14" t="str">
        <f t="shared" si="3"/>
        <v>High Sell</v>
      </c>
      <c r="S44" s="8" t="str">
        <f t="shared" si="4"/>
        <v>Medium</v>
      </c>
      <c r="T44" s="8" t="str">
        <f t="shared" si="5"/>
        <v>Medium</v>
      </c>
      <c r="U44" s="8"/>
    </row>
    <row r="45" spans="1:28" ht="14.25" customHeight="1">
      <c r="A45" s="1">
        <v>10044</v>
      </c>
      <c r="B45" s="1">
        <v>1475</v>
      </c>
      <c r="C45" s="2">
        <v>44955</v>
      </c>
      <c r="D45" s="2">
        <v>44959</v>
      </c>
      <c r="E45" s="1" t="s">
        <v>15</v>
      </c>
      <c r="F45" s="1" t="s">
        <v>28</v>
      </c>
      <c r="G45" s="1" t="s">
        <v>16</v>
      </c>
      <c r="H45" s="1" t="s">
        <v>41</v>
      </c>
      <c r="I45" s="1" t="s">
        <v>30</v>
      </c>
      <c r="J45" s="1" t="s">
        <v>47</v>
      </c>
      <c r="K45" s="1" t="s">
        <v>46</v>
      </c>
      <c r="L45" s="1">
        <v>4</v>
      </c>
      <c r="M45" s="1">
        <v>214.51</v>
      </c>
      <c r="N45" s="7">
        <v>20</v>
      </c>
      <c r="O45" s="16">
        <f t="shared" si="0"/>
        <v>858.04</v>
      </c>
      <c r="P45" s="18">
        <f t="shared" si="1"/>
        <v>171.608</v>
      </c>
      <c r="Q45" s="18">
        <f t="shared" si="2"/>
        <v>686.43200000000002</v>
      </c>
      <c r="R45" s="14" t="str">
        <f t="shared" si="3"/>
        <v>Low Sell</v>
      </c>
      <c r="S45" s="8" t="str">
        <f t="shared" si="4"/>
        <v>Low</v>
      </c>
      <c r="T45" s="8" t="str">
        <f t="shared" si="5"/>
        <v>Low</v>
      </c>
      <c r="U45" s="8"/>
    </row>
    <row r="46" spans="1:28" ht="14.25" customHeight="1">
      <c r="A46" s="1">
        <v>10045</v>
      </c>
      <c r="B46" s="1">
        <v>1699</v>
      </c>
      <c r="C46" s="2">
        <v>45139</v>
      </c>
      <c r="D46" s="2">
        <v>45147</v>
      </c>
      <c r="E46" s="1" t="s">
        <v>33</v>
      </c>
      <c r="F46" s="1" t="s">
        <v>15</v>
      </c>
      <c r="G46" s="1" t="s">
        <v>16</v>
      </c>
      <c r="H46" s="1" t="s">
        <v>24</v>
      </c>
      <c r="I46" s="1" t="s">
        <v>25</v>
      </c>
      <c r="J46" s="1" t="s">
        <v>60</v>
      </c>
      <c r="K46" s="1" t="s">
        <v>46</v>
      </c>
      <c r="L46" s="1">
        <v>1</v>
      </c>
      <c r="M46" s="1">
        <v>2764.92</v>
      </c>
      <c r="N46" s="7">
        <v>0</v>
      </c>
      <c r="O46" s="16">
        <f t="shared" si="0"/>
        <v>2764.92</v>
      </c>
      <c r="P46" s="18">
        <f t="shared" si="1"/>
        <v>0</v>
      </c>
      <c r="Q46" s="18">
        <f t="shared" si="2"/>
        <v>2764.92</v>
      </c>
      <c r="R46" s="14" t="str">
        <f t="shared" si="3"/>
        <v>Low Sell</v>
      </c>
      <c r="S46" s="8" t="str">
        <f t="shared" si="4"/>
        <v>Low</v>
      </c>
      <c r="T46" s="8" t="str">
        <f t="shared" si="5"/>
        <v>Low</v>
      </c>
      <c r="U46" s="8"/>
    </row>
    <row r="47" spans="1:28" ht="14.25" customHeight="1">
      <c r="A47" s="1">
        <v>10046</v>
      </c>
      <c r="B47" s="1">
        <v>1975</v>
      </c>
      <c r="C47" s="2">
        <v>45209</v>
      </c>
      <c r="D47" s="2">
        <v>45211</v>
      </c>
      <c r="E47" s="1" t="s">
        <v>36</v>
      </c>
      <c r="F47" s="1" t="s">
        <v>53</v>
      </c>
      <c r="G47" s="1" t="s">
        <v>23</v>
      </c>
      <c r="H47" s="1" t="s">
        <v>17</v>
      </c>
      <c r="I47" s="1" t="s">
        <v>48</v>
      </c>
      <c r="J47" s="1" t="s">
        <v>50</v>
      </c>
      <c r="K47" s="1" t="s">
        <v>44</v>
      </c>
      <c r="L47" s="1">
        <v>8</v>
      </c>
      <c r="M47" s="1">
        <v>444.79</v>
      </c>
      <c r="N47" s="7">
        <v>10</v>
      </c>
      <c r="O47" s="16">
        <f t="shared" si="0"/>
        <v>3558.32</v>
      </c>
      <c r="P47" s="18">
        <f t="shared" si="1"/>
        <v>355.83200000000005</v>
      </c>
      <c r="Q47" s="18">
        <f t="shared" si="2"/>
        <v>3202.4880000000003</v>
      </c>
      <c r="R47" s="14" t="str">
        <f t="shared" si="3"/>
        <v>High Sell</v>
      </c>
      <c r="S47" s="8" t="str">
        <f t="shared" si="4"/>
        <v>High</v>
      </c>
      <c r="T47" s="8" t="str">
        <f t="shared" si="5"/>
        <v>High</v>
      </c>
      <c r="U47" s="8"/>
    </row>
    <row r="48" spans="1:28" ht="14.25" customHeight="1">
      <c r="A48" s="1">
        <v>10047</v>
      </c>
      <c r="B48" s="1">
        <v>1782</v>
      </c>
      <c r="C48" s="2">
        <v>44976</v>
      </c>
      <c r="D48" s="2">
        <v>44985</v>
      </c>
      <c r="E48" s="1" t="s">
        <v>39</v>
      </c>
      <c r="F48" s="1" t="s">
        <v>40</v>
      </c>
      <c r="G48" s="1" t="s">
        <v>16</v>
      </c>
      <c r="H48" s="1" t="s">
        <v>17</v>
      </c>
      <c r="I48" s="1" t="s">
        <v>56</v>
      </c>
      <c r="J48" s="1" t="s">
        <v>61</v>
      </c>
      <c r="K48" s="1" t="s">
        <v>46</v>
      </c>
      <c r="L48" s="1">
        <v>1</v>
      </c>
      <c r="M48" s="1">
        <v>1769.93</v>
      </c>
      <c r="N48" s="7">
        <v>20</v>
      </c>
      <c r="O48" s="16">
        <f t="shared" si="0"/>
        <v>1769.93</v>
      </c>
      <c r="P48" s="18">
        <f t="shared" si="1"/>
        <v>353.98600000000005</v>
      </c>
      <c r="Q48" s="18">
        <f t="shared" si="2"/>
        <v>1415.944</v>
      </c>
      <c r="R48" s="14" t="str">
        <f t="shared" si="3"/>
        <v>Low Sell</v>
      </c>
      <c r="S48" s="8" t="str">
        <f t="shared" si="4"/>
        <v>Low</v>
      </c>
      <c r="T48" s="8" t="str">
        <f t="shared" si="5"/>
        <v>Low</v>
      </c>
      <c r="U48" s="8"/>
    </row>
    <row r="49" spans="1:21" ht="14.25" customHeight="1">
      <c r="A49" s="1">
        <v>10048</v>
      </c>
      <c r="B49" s="1">
        <v>1189</v>
      </c>
      <c r="C49" s="2">
        <v>45021</v>
      </c>
      <c r="D49" s="2">
        <v>45027</v>
      </c>
      <c r="E49" s="1" t="s">
        <v>21</v>
      </c>
      <c r="F49" s="1" t="s">
        <v>37</v>
      </c>
      <c r="G49" s="1" t="s">
        <v>23</v>
      </c>
      <c r="H49" s="1" t="s">
        <v>43</v>
      </c>
      <c r="I49" s="1" t="s">
        <v>30</v>
      </c>
      <c r="J49" s="1" t="s">
        <v>64</v>
      </c>
      <c r="K49" s="1" t="s">
        <v>27</v>
      </c>
      <c r="L49" s="1">
        <v>5</v>
      </c>
      <c r="M49" s="1">
        <v>2466.48</v>
      </c>
      <c r="N49" s="7">
        <v>5</v>
      </c>
      <c r="O49" s="16">
        <f t="shared" si="0"/>
        <v>12332.4</v>
      </c>
      <c r="P49" s="18">
        <f t="shared" si="1"/>
        <v>616.62</v>
      </c>
      <c r="Q49" s="18">
        <f t="shared" si="2"/>
        <v>11715.779999999999</v>
      </c>
      <c r="R49" s="14" t="str">
        <f t="shared" si="3"/>
        <v>High Sell</v>
      </c>
      <c r="S49" s="8" t="str">
        <f t="shared" si="4"/>
        <v>Medium</v>
      </c>
      <c r="T49" s="8" t="str">
        <f t="shared" si="5"/>
        <v>Medium</v>
      </c>
      <c r="U49" s="8"/>
    </row>
    <row r="50" spans="1:21" ht="14.25" customHeight="1">
      <c r="A50" s="1">
        <v>10049</v>
      </c>
      <c r="B50" s="1">
        <v>1957</v>
      </c>
      <c r="C50" s="2">
        <v>45014</v>
      </c>
      <c r="D50" s="2">
        <v>45023</v>
      </c>
      <c r="E50" s="1" t="s">
        <v>45</v>
      </c>
      <c r="F50" s="1" t="s">
        <v>28</v>
      </c>
      <c r="G50" s="1" t="s">
        <v>16</v>
      </c>
      <c r="H50" s="1" t="s">
        <v>17</v>
      </c>
      <c r="I50" s="1" t="s">
        <v>25</v>
      </c>
      <c r="J50" s="1" t="s">
        <v>26</v>
      </c>
      <c r="K50" s="1" t="s">
        <v>20</v>
      </c>
      <c r="L50" s="1">
        <v>6</v>
      </c>
      <c r="M50" s="1">
        <v>3757.87</v>
      </c>
      <c r="N50" s="7">
        <v>15</v>
      </c>
      <c r="O50" s="16">
        <f t="shared" si="0"/>
        <v>22547.22</v>
      </c>
      <c r="P50" s="18">
        <f t="shared" si="1"/>
        <v>3382.0830000000001</v>
      </c>
      <c r="Q50" s="18">
        <f t="shared" si="2"/>
        <v>19165.137000000002</v>
      </c>
      <c r="R50" s="14" t="str">
        <f t="shared" si="3"/>
        <v>High Sell</v>
      </c>
      <c r="S50" s="8" t="str">
        <f t="shared" si="4"/>
        <v>High</v>
      </c>
      <c r="T50" s="8" t="str">
        <f t="shared" si="5"/>
        <v>High</v>
      </c>
      <c r="U50" s="8"/>
    </row>
    <row r="51" spans="1:21" ht="14.25" customHeight="1">
      <c r="A51" s="1">
        <v>10050</v>
      </c>
      <c r="B51" s="1">
        <v>1686</v>
      </c>
      <c r="C51" s="2">
        <v>44970</v>
      </c>
      <c r="D51" s="2">
        <v>44978</v>
      </c>
      <c r="E51" s="1" t="s">
        <v>39</v>
      </c>
      <c r="F51" s="1" t="s">
        <v>15</v>
      </c>
      <c r="G51" s="1" t="s">
        <v>16</v>
      </c>
      <c r="H51" s="1" t="s">
        <v>41</v>
      </c>
      <c r="I51" s="1" t="s">
        <v>25</v>
      </c>
      <c r="J51" s="1" t="s">
        <v>60</v>
      </c>
      <c r="K51" s="1" t="s">
        <v>27</v>
      </c>
      <c r="L51" s="1">
        <v>6</v>
      </c>
      <c r="M51" s="1">
        <v>1350.44</v>
      </c>
      <c r="N51" s="7">
        <v>20</v>
      </c>
      <c r="O51" s="16">
        <f t="shared" si="0"/>
        <v>8102.64</v>
      </c>
      <c r="P51" s="18">
        <f t="shared" si="1"/>
        <v>1620.5280000000002</v>
      </c>
      <c r="Q51" s="18">
        <f t="shared" si="2"/>
        <v>6482.1120000000001</v>
      </c>
      <c r="R51" s="14" t="str">
        <f t="shared" si="3"/>
        <v>High Sell</v>
      </c>
      <c r="S51" s="8" t="str">
        <f t="shared" si="4"/>
        <v>High</v>
      </c>
      <c r="T51" s="8" t="str">
        <f t="shared" si="5"/>
        <v>High</v>
      </c>
      <c r="U51" s="8"/>
    </row>
    <row r="52" spans="1:21" ht="14.25" customHeight="1">
      <c r="A52" s="1">
        <v>10052</v>
      </c>
      <c r="B52" s="1">
        <v>1562</v>
      </c>
      <c r="C52" s="2">
        <v>45097</v>
      </c>
      <c r="D52" s="2">
        <v>45098</v>
      </c>
      <c r="E52" s="1" t="s">
        <v>21</v>
      </c>
      <c r="F52" s="1" t="s">
        <v>53</v>
      </c>
      <c r="G52" s="1" t="s">
        <v>23</v>
      </c>
      <c r="H52" s="1" t="s">
        <v>34</v>
      </c>
      <c r="I52" s="1" t="s">
        <v>56</v>
      </c>
      <c r="J52" s="1" t="s">
        <v>61</v>
      </c>
      <c r="K52" s="1" t="s">
        <v>32</v>
      </c>
      <c r="L52" s="1">
        <v>3</v>
      </c>
      <c r="M52" s="1">
        <v>2668.52</v>
      </c>
      <c r="N52" s="7">
        <v>5</v>
      </c>
      <c r="O52" s="16">
        <f t="shared" si="0"/>
        <v>8005.5599999999995</v>
      </c>
      <c r="P52" s="18">
        <f t="shared" si="1"/>
        <v>400.27800000000002</v>
      </c>
      <c r="Q52" s="18">
        <f t="shared" si="2"/>
        <v>7605.2819999999992</v>
      </c>
      <c r="R52" s="14" t="str">
        <f t="shared" si="3"/>
        <v>Low Sell</v>
      </c>
      <c r="S52" s="8" t="str">
        <f t="shared" si="4"/>
        <v>Low</v>
      </c>
      <c r="T52" s="8" t="str">
        <f t="shared" si="5"/>
        <v>Low</v>
      </c>
      <c r="U52" s="8"/>
    </row>
    <row r="53" spans="1:21" ht="14.25" customHeight="1">
      <c r="A53" s="1">
        <v>10053</v>
      </c>
      <c r="B53" s="1">
        <v>1875</v>
      </c>
      <c r="C53" s="2">
        <v>45115</v>
      </c>
      <c r="D53" s="2">
        <v>45118</v>
      </c>
      <c r="E53" s="1" t="s">
        <v>45</v>
      </c>
      <c r="F53" s="1" t="s">
        <v>15</v>
      </c>
      <c r="G53" s="1" t="s">
        <v>16</v>
      </c>
      <c r="H53" s="1" t="s">
        <v>34</v>
      </c>
      <c r="I53" s="1" t="s">
        <v>51</v>
      </c>
      <c r="J53" s="1" t="s">
        <v>63</v>
      </c>
      <c r="K53" s="1" t="s">
        <v>20</v>
      </c>
      <c r="L53" s="1">
        <v>5</v>
      </c>
      <c r="M53" s="1">
        <v>2534.0700000000002</v>
      </c>
      <c r="N53" s="7">
        <v>10</v>
      </c>
      <c r="O53" s="16">
        <f t="shared" si="0"/>
        <v>12670.35</v>
      </c>
      <c r="P53" s="18">
        <f t="shared" si="1"/>
        <v>1267.0350000000001</v>
      </c>
      <c r="Q53" s="18">
        <f t="shared" si="2"/>
        <v>11403.315000000001</v>
      </c>
      <c r="R53" s="14" t="str">
        <f t="shared" si="3"/>
        <v>High Sell</v>
      </c>
      <c r="S53" s="8" t="str">
        <f t="shared" si="4"/>
        <v>Medium</v>
      </c>
      <c r="T53" s="8" t="str">
        <f t="shared" si="5"/>
        <v>Medium</v>
      </c>
      <c r="U53" s="8"/>
    </row>
    <row r="54" spans="1:21" ht="14.25" customHeight="1">
      <c r="A54" s="1">
        <v>10054</v>
      </c>
      <c r="B54" s="1">
        <v>1566</v>
      </c>
      <c r="C54" s="2">
        <v>45279</v>
      </c>
      <c r="D54" s="2">
        <v>45281</v>
      </c>
      <c r="E54" s="1" t="s">
        <v>39</v>
      </c>
      <c r="F54" s="1" t="s">
        <v>22</v>
      </c>
      <c r="G54" s="1" t="s">
        <v>23</v>
      </c>
      <c r="H54" s="1" t="s">
        <v>24</v>
      </c>
      <c r="I54" s="1" t="s">
        <v>48</v>
      </c>
      <c r="J54" s="1" t="s">
        <v>49</v>
      </c>
      <c r="K54" s="1" t="s">
        <v>20</v>
      </c>
      <c r="L54" s="1">
        <v>8</v>
      </c>
      <c r="M54" s="1">
        <v>1428.62</v>
      </c>
      <c r="N54" s="7">
        <v>10</v>
      </c>
      <c r="O54" s="16">
        <f t="shared" si="0"/>
        <v>11428.96</v>
      </c>
      <c r="P54" s="18">
        <f t="shared" si="1"/>
        <v>1142.896</v>
      </c>
      <c r="Q54" s="18">
        <f t="shared" si="2"/>
        <v>10286.063999999998</v>
      </c>
      <c r="R54" s="14" t="str">
        <f t="shared" si="3"/>
        <v>High Sell</v>
      </c>
      <c r="S54" s="8" t="str">
        <f t="shared" si="4"/>
        <v>High</v>
      </c>
      <c r="T54" s="8" t="str">
        <f t="shared" si="5"/>
        <v>High</v>
      </c>
      <c r="U54" s="8"/>
    </row>
    <row r="55" spans="1:21" ht="14.25" customHeight="1">
      <c r="A55" s="1">
        <v>10055</v>
      </c>
      <c r="B55" s="1">
        <v>1243</v>
      </c>
      <c r="C55" s="2">
        <v>45110</v>
      </c>
      <c r="D55" s="2">
        <v>45115</v>
      </c>
      <c r="E55" s="1" t="s">
        <v>36</v>
      </c>
      <c r="F55" s="1" t="s">
        <v>15</v>
      </c>
      <c r="G55" s="1" t="s">
        <v>23</v>
      </c>
      <c r="H55" s="1" t="s">
        <v>17</v>
      </c>
      <c r="I55" s="1" t="s">
        <v>51</v>
      </c>
      <c r="J55" s="1" t="s">
        <v>63</v>
      </c>
      <c r="K55" s="1" t="s">
        <v>44</v>
      </c>
      <c r="L55" s="1">
        <v>2</v>
      </c>
      <c r="M55" s="1">
        <v>3723.19</v>
      </c>
      <c r="N55" s="7">
        <v>5</v>
      </c>
      <c r="O55" s="16">
        <f t="shared" si="0"/>
        <v>7446.38</v>
      </c>
      <c r="P55" s="18">
        <f t="shared" si="1"/>
        <v>372.31900000000002</v>
      </c>
      <c r="Q55" s="18">
        <f t="shared" si="2"/>
        <v>7074.0609999999997</v>
      </c>
      <c r="R55" s="14" t="str">
        <f t="shared" si="3"/>
        <v>Low Sell</v>
      </c>
      <c r="S55" s="8" t="str">
        <f t="shared" si="4"/>
        <v>Low</v>
      </c>
      <c r="T55" s="8" t="str">
        <f t="shared" si="5"/>
        <v>Low</v>
      </c>
      <c r="U55" s="8"/>
    </row>
    <row r="56" spans="1:21" ht="14.25" customHeight="1">
      <c r="A56" s="1">
        <v>10056</v>
      </c>
      <c r="B56" s="1">
        <v>1831</v>
      </c>
      <c r="C56" s="2">
        <v>44929</v>
      </c>
      <c r="D56" s="2">
        <v>44934</v>
      </c>
      <c r="E56" s="1" t="s">
        <v>36</v>
      </c>
      <c r="F56" s="1" t="s">
        <v>28</v>
      </c>
      <c r="G56" s="1" t="s">
        <v>16</v>
      </c>
      <c r="H56" s="1" t="s">
        <v>41</v>
      </c>
      <c r="I56" s="1" t="s">
        <v>56</v>
      </c>
      <c r="J56" s="1" t="s">
        <v>61</v>
      </c>
      <c r="K56" s="1" t="s">
        <v>44</v>
      </c>
      <c r="L56" s="1">
        <v>6</v>
      </c>
      <c r="M56" s="1">
        <v>3402.72</v>
      </c>
      <c r="N56" s="7">
        <v>15</v>
      </c>
      <c r="O56" s="16">
        <f t="shared" si="0"/>
        <v>20416.32</v>
      </c>
      <c r="P56" s="18">
        <f t="shared" si="1"/>
        <v>3062.4479999999999</v>
      </c>
      <c r="Q56" s="18">
        <f t="shared" si="2"/>
        <v>17353.871999999999</v>
      </c>
      <c r="R56" s="14" t="str">
        <f t="shared" si="3"/>
        <v>High Sell</v>
      </c>
      <c r="S56" s="8" t="str">
        <f t="shared" si="4"/>
        <v>High</v>
      </c>
      <c r="T56" s="8" t="str">
        <f t="shared" si="5"/>
        <v>High</v>
      </c>
      <c r="U56" s="8"/>
    </row>
    <row r="57" spans="1:21" ht="14.25" customHeight="1">
      <c r="A57" s="1">
        <v>10057</v>
      </c>
      <c r="B57" s="1">
        <v>1504</v>
      </c>
      <c r="C57" s="2">
        <v>45117</v>
      </c>
      <c r="D57" s="2">
        <v>45122</v>
      </c>
      <c r="E57" s="1" t="s">
        <v>36</v>
      </c>
      <c r="F57" s="1" t="s">
        <v>28</v>
      </c>
      <c r="G57" s="1" t="s">
        <v>16</v>
      </c>
      <c r="H57" s="1" t="s">
        <v>24</v>
      </c>
      <c r="I57" s="1" t="s">
        <v>56</v>
      </c>
      <c r="J57" s="1" t="s">
        <v>57</v>
      </c>
      <c r="K57" s="1" t="s">
        <v>32</v>
      </c>
      <c r="L57" s="1">
        <v>9</v>
      </c>
      <c r="M57" s="1">
        <v>1012.33</v>
      </c>
      <c r="N57" s="7">
        <v>20</v>
      </c>
      <c r="O57" s="16">
        <f t="shared" si="0"/>
        <v>9110.9700000000012</v>
      </c>
      <c r="P57" s="18">
        <f t="shared" si="1"/>
        <v>1822.1940000000004</v>
      </c>
      <c r="Q57" s="18">
        <f t="shared" si="2"/>
        <v>7288.7760000000007</v>
      </c>
      <c r="R57" s="14" t="str">
        <f t="shared" si="3"/>
        <v>High Sell</v>
      </c>
      <c r="S57" s="8" t="str">
        <f t="shared" si="4"/>
        <v>High</v>
      </c>
      <c r="T57" s="8" t="str">
        <f t="shared" si="5"/>
        <v>High</v>
      </c>
      <c r="U57" s="8"/>
    </row>
    <row r="58" spans="1:21" ht="14.25" customHeight="1">
      <c r="A58" s="1">
        <v>10059</v>
      </c>
      <c r="B58" s="1">
        <v>1484</v>
      </c>
      <c r="C58" s="2">
        <v>44945</v>
      </c>
      <c r="D58" s="2">
        <v>44950</v>
      </c>
      <c r="E58" s="1" t="s">
        <v>39</v>
      </c>
      <c r="F58" s="1" t="s">
        <v>40</v>
      </c>
      <c r="G58" s="1" t="s">
        <v>23</v>
      </c>
      <c r="H58" s="1" t="s">
        <v>41</v>
      </c>
      <c r="I58" s="1" t="s">
        <v>51</v>
      </c>
      <c r="J58" s="1" t="s">
        <v>63</v>
      </c>
      <c r="K58" s="1" t="s">
        <v>32</v>
      </c>
      <c r="L58" s="1">
        <v>8</v>
      </c>
      <c r="M58" s="1">
        <v>2122.36</v>
      </c>
      <c r="N58" s="7">
        <v>0</v>
      </c>
      <c r="O58" s="16">
        <f t="shared" si="0"/>
        <v>16978.88</v>
      </c>
      <c r="P58" s="18">
        <f t="shared" si="1"/>
        <v>0</v>
      </c>
      <c r="Q58" s="18">
        <f t="shared" si="2"/>
        <v>16978.88</v>
      </c>
      <c r="R58" s="14" t="str">
        <f t="shared" si="3"/>
        <v>High Sell</v>
      </c>
      <c r="S58" s="8" t="str">
        <f t="shared" si="4"/>
        <v>High</v>
      </c>
      <c r="T58" s="8" t="str">
        <f t="shared" si="5"/>
        <v>High</v>
      </c>
      <c r="U58" s="8"/>
    </row>
    <row r="59" spans="1:21" ht="14.25" customHeight="1">
      <c r="A59" s="1">
        <v>10060</v>
      </c>
      <c r="B59" s="1">
        <v>1818</v>
      </c>
      <c r="C59" s="2">
        <v>44949</v>
      </c>
      <c r="D59" s="2">
        <v>44952</v>
      </c>
      <c r="E59" s="1" t="s">
        <v>45</v>
      </c>
      <c r="F59" s="1" t="s">
        <v>40</v>
      </c>
      <c r="G59" s="1" t="s">
        <v>29</v>
      </c>
      <c r="H59" s="1" t="s">
        <v>41</v>
      </c>
      <c r="I59" s="1" t="s">
        <v>56</v>
      </c>
      <c r="J59" s="1" t="s">
        <v>61</v>
      </c>
      <c r="K59" s="1" t="s">
        <v>44</v>
      </c>
      <c r="L59" s="1">
        <v>8</v>
      </c>
      <c r="M59" s="1">
        <v>3128.25</v>
      </c>
      <c r="N59" s="7">
        <v>15</v>
      </c>
      <c r="O59" s="16">
        <f t="shared" si="0"/>
        <v>25026</v>
      </c>
      <c r="P59" s="18">
        <f t="shared" si="1"/>
        <v>3753.8999999999996</v>
      </c>
      <c r="Q59" s="18">
        <f t="shared" si="2"/>
        <v>21272.1</v>
      </c>
      <c r="R59" s="14" t="str">
        <f t="shared" si="3"/>
        <v>High Sell</v>
      </c>
      <c r="S59" s="8" t="str">
        <f t="shared" si="4"/>
        <v>High</v>
      </c>
      <c r="T59" s="8" t="str">
        <f t="shared" si="5"/>
        <v>High</v>
      </c>
      <c r="U59" s="8"/>
    </row>
    <row r="60" spans="1:21" ht="14.25" customHeight="1">
      <c r="A60" s="1">
        <v>10061</v>
      </c>
      <c r="B60" s="1">
        <v>1646</v>
      </c>
      <c r="C60" s="2">
        <v>44956</v>
      </c>
      <c r="D60" s="2">
        <v>44957</v>
      </c>
      <c r="E60" s="1" t="s">
        <v>36</v>
      </c>
      <c r="F60" s="1" t="s">
        <v>53</v>
      </c>
      <c r="G60" s="1" t="s">
        <v>23</v>
      </c>
      <c r="H60" s="1" t="s">
        <v>41</v>
      </c>
      <c r="I60" s="1" t="s">
        <v>25</v>
      </c>
      <c r="J60" s="1" t="s">
        <v>35</v>
      </c>
      <c r="K60" s="1" t="s">
        <v>44</v>
      </c>
      <c r="L60" s="1">
        <v>7</v>
      </c>
      <c r="M60" s="1">
        <v>319.56</v>
      </c>
      <c r="N60" s="7">
        <v>10</v>
      </c>
      <c r="O60" s="16">
        <f t="shared" si="0"/>
        <v>2236.92</v>
      </c>
      <c r="P60" s="18">
        <f t="shared" si="1"/>
        <v>223.69200000000001</v>
      </c>
      <c r="Q60" s="18">
        <f t="shared" si="2"/>
        <v>2013.2280000000001</v>
      </c>
      <c r="R60" s="14" t="str">
        <f t="shared" si="3"/>
        <v>High Sell</v>
      </c>
      <c r="S60" s="8" t="str">
        <f t="shared" si="4"/>
        <v>High</v>
      </c>
      <c r="T60" s="8" t="str">
        <f t="shared" si="5"/>
        <v>High</v>
      </c>
      <c r="U60" s="8"/>
    </row>
    <row r="61" spans="1:21" ht="14.25" customHeight="1">
      <c r="A61" s="1">
        <v>10063</v>
      </c>
      <c r="B61" s="1">
        <v>1840</v>
      </c>
      <c r="C61" s="2">
        <v>45034</v>
      </c>
      <c r="D61" s="2">
        <v>45043</v>
      </c>
      <c r="E61" s="1" t="s">
        <v>39</v>
      </c>
      <c r="F61" s="1" t="s">
        <v>22</v>
      </c>
      <c r="G61" s="1" t="s">
        <v>29</v>
      </c>
      <c r="H61" s="1" t="s">
        <v>41</v>
      </c>
      <c r="I61" s="1" t="s">
        <v>56</v>
      </c>
      <c r="J61" s="1" t="s">
        <v>61</v>
      </c>
      <c r="K61" s="1" t="s">
        <v>27</v>
      </c>
      <c r="L61" s="1">
        <v>6</v>
      </c>
      <c r="M61" s="1">
        <v>2645.71</v>
      </c>
      <c r="N61" s="7">
        <v>10</v>
      </c>
      <c r="O61" s="16">
        <f t="shared" si="0"/>
        <v>15874.26</v>
      </c>
      <c r="P61" s="18">
        <f t="shared" si="1"/>
        <v>1587.4260000000002</v>
      </c>
      <c r="Q61" s="18">
        <f t="shared" si="2"/>
        <v>14286.834000000001</v>
      </c>
      <c r="R61" s="14" t="str">
        <f t="shared" si="3"/>
        <v>High Sell</v>
      </c>
      <c r="S61" s="8" t="str">
        <f t="shared" si="4"/>
        <v>High</v>
      </c>
      <c r="T61" s="8" t="str">
        <f t="shared" si="5"/>
        <v>High</v>
      </c>
      <c r="U61" s="8"/>
    </row>
    <row r="62" spans="1:21" ht="14.25" customHeight="1">
      <c r="A62" s="1">
        <v>10064</v>
      </c>
      <c r="B62" s="1">
        <v>1166</v>
      </c>
      <c r="C62" s="2">
        <v>45207</v>
      </c>
      <c r="D62" s="2">
        <v>45216</v>
      </c>
      <c r="E62" s="1" t="s">
        <v>39</v>
      </c>
      <c r="F62" s="1" t="s">
        <v>15</v>
      </c>
      <c r="G62" s="1" t="s">
        <v>29</v>
      </c>
      <c r="H62" s="1" t="s">
        <v>17</v>
      </c>
      <c r="I62" s="1" t="s">
        <v>25</v>
      </c>
      <c r="J62" s="1" t="s">
        <v>35</v>
      </c>
      <c r="K62" s="1" t="s">
        <v>46</v>
      </c>
      <c r="L62" s="1">
        <v>2</v>
      </c>
      <c r="M62" s="1">
        <v>1041.2</v>
      </c>
      <c r="N62" s="7">
        <v>15</v>
      </c>
      <c r="O62" s="16">
        <f t="shared" si="0"/>
        <v>2082.4</v>
      </c>
      <c r="P62" s="18">
        <f t="shared" si="1"/>
        <v>312.36</v>
      </c>
      <c r="Q62" s="18">
        <f t="shared" si="2"/>
        <v>1770.04</v>
      </c>
      <c r="R62" s="14" t="str">
        <f t="shared" si="3"/>
        <v>Low Sell</v>
      </c>
      <c r="S62" s="8" t="str">
        <f t="shared" si="4"/>
        <v>Low</v>
      </c>
      <c r="T62" s="8" t="str">
        <f t="shared" si="5"/>
        <v>Low</v>
      </c>
      <c r="U62" s="8"/>
    </row>
    <row r="63" spans="1:21" ht="14.25" customHeight="1">
      <c r="A63" s="1">
        <v>10065</v>
      </c>
      <c r="B63" s="1">
        <v>1273</v>
      </c>
      <c r="C63" s="2">
        <v>45054</v>
      </c>
      <c r="D63" s="2">
        <v>45058</v>
      </c>
      <c r="E63" s="1" t="s">
        <v>14</v>
      </c>
      <c r="F63" s="1" t="s">
        <v>37</v>
      </c>
      <c r="G63" s="1" t="s">
        <v>16</v>
      </c>
      <c r="H63" s="1" t="s">
        <v>41</v>
      </c>
      <c r="I63" s="1" t="s">
        <v>18</v>
      </c>
      <c r="J63" s="1" t="s">
        <v>42</v>
      </c>
      <c r="K63" s="1" t="s">
        <v>44</v>
      </c>
      <c r="L63" s="1">
        <v>2</v>
      </c>
      <c r="M63" s="1">
        <v>2773.21</v>
      </c>
      <c r="N63" s="7">
        <v>10</v>
      </c>
      <c r="O63" s="16">
        <f t="shared" si="0"/>
        <v>5546.42</v>
      </c>
      <c r="P63" s="18">
        <f t="shared" si="1"/>
        <v>554.64200000000005</v>
      </c>
      <c r="Q63" s="18">
        <f t="shared" si="2"/>
        <v>4991.7780000000002</v>
      </c>
      <c r="R63" s="14" t="str">
        <f t="shared" si="3"/>
        <v>Low Sell</v>
      </c>
      <c r="S63" s="8" t="str">
        <f t="shared" si="4"/>
        <v>Low</v>
      </c>
      <c r="T63" s="8" t="str">
        <f t="shared" si="5"/>
        <v>Low</v>
      </c>
      <c r="U63" s="8"/>
    </row>
    <row r="64" spans="1:21" ht="14.25" customHeight="1">
      <c r="A64" s="1">
        <v>10066</v>
      </c>
      <c r="B64" s="1">
        <v>1387</v>
      </c>
      <c r="C64" s="2">
        <v>45155</v>
      </c>
      <c r="D64" s="2">
        <v>45158</v>
      </c>
      <c r="E64" s="1" t="s">
        <v>14</v>
      </c>
      <c r="F64" s="1" t="s">
        <v>22</v>
      </c>
      <c r="G64" s="1" t="s">
        <v>16</v>
      </c>
      <c r="H64" s="1" t="s">
        <v>34</v>
      </c>
      <c r="I64" s="1" t="s">
        <v>56</v>
      </c>
      <c r="J64" s="1" t="s">
        <v>65</v>
      </c>
      <c r="K64" s="1" t="s">
        <v>44</v>
      </c>
      <c r="L64" s="1">
        <v>8</v>
      </c>
      <c r="M64" s="1">
        <v>3769.71</v>
      </c>
      <c r="N64" s="7">
        <v>5</v>
      </c>
      <c r="O64" s="16">
        <f t="shared" si="0"/>
        <v>30157.68</v>
      </c>
      <c r="P64" s="18">
        <f t="shared" si="1"/>
        <v>1507.884</v>
      </c>
      <c r="Q64" s="18">
        <f t="shared" si="2"/>
        <v>28649.796000000002</v>
      </c>
      <c r="R64" s="14" t="str">
        <f t="shared" si="3"/>
        <v>High Sell</v>
      </c>
      <c r="S64" s="8" t="str">
        <f t="shared" si="4"/>
        <v>High</v>
      </c>
      <c r="T64" s="8" t="str">
        <f t="shared" si="5"/>
        <v>High</v>
      </c>
      <c r="U64" s="8"/>
    </row>
    <row r="65" spans="1:21" ht="14.25" customHeight="1">
      <c r="A65" s="1">
        <v>10067</v>
      </c>
      <c r="B65" s="1">
        <v>1600</v>
      </c>
      <c r="C65" s="2">
        <v>45037</v>
      </c>
      <c r="D65" s="2">
        <v>45038</v>
      </c>
      <c r="E65" s="1" t="s">
        <v>15</v>
      </c>
      <c r="F65" s="1" t="s">
        <v>40</v>
      </c>
      <c r="G65" s="1" t="s">
        <v>23</v>
      </c>
      <c r="H65" s="1" t="s">
        <v>41</v>
      </c>
      <c r="I65" s="1" t="s">
        <v>51</v>
      </c>
      <c r="J65" s="1" t="s">
        <v>63</v>
      </c>
      <c r="K65" s="1" t="s">
        <v>27</v>
      </c>
      <c r="L65" s="1">
        <v>1</v>
      </c>
      <c r="M65" s="1">
        <v>330.13</v>
      </c>
      <c r="N65" s="7">
        <v>15</v>
      </c>
      <c r="O65" s="16">
        <f t="shared" si="0"/>
        <v>330.13</v>
      </c>
      <c r="P65" s="18">
        <f t="shared" si="1"/>
        <v>49.519500000000001</v>
      </c>
      <c r="Q65" s="18">
        <f t="shared" si="2"/>
        <v>280.6105</v>
      </c>
      <c r="R65" s="14" t="str">
        <f t="shared" si="3"/>
        <v>Low Sell</v>
      </c>
      <c r="S65" s="8" t="str">
        <f t="shared" si="4"/>
        <v>Low</v>
      </c>
      <c r="T65" s="8" t="str">
        <f t="shared" si="5"/>
        <v>Low</v>
      </c>
      <c r="U65" s="8"/>
    </row>
    <row r="66" spans="1:21" ht="14.25" customHeight="1">
      <c r="A66" s="1">
        <v>10068</v>
      </c>
      <c r="B66" s="1">
        <v>1315</v>
      </c>
      <c r="C66" s="2">
        <v>45062</v>
      </c>
      <c r="D66" s="2">
        <v>45064</v>
      </c>
      <c r="E66" s="1" t="s">
        <v>33</v>
      </c>
      <c r="F66" s="1" t="s">
        <v>40</v>
      </c>
      <c r="G66" s="1" t="s">
        <v>29</v>
      </c>
      <c r="H66" s="1" t="s">
        <v>43</v>
      </c>
      <c r="I66" s="1" t="s">
        <v>30</v>
      </c>
      <c r="J66" s="1" t="s">
        <v>47</v>
      </c>
      <c r="K66" s="1" t="s">
        <v>27</v>
      </c>
      <c r="L66" s="1">
        <v>6</v>
      </c>
      <c r="M66" s="1">
        <v>1380.66</v>
      </c>
      <c r="N66" s="7">
        <v>0</v>
      </c>
      <c r="O66" s="16">
        <f t="shared" si="0"/>
        <v>8283.9600000000009</v>
      </c>
      <c r="P66" s="18">
        <f t="shared" si="1"/>
        <v>0</v>
      </c>
      <c r="Q66" s="18">
        <f t="shared" si="2"/>
        <v>8283.9600000000009</v>
      </c>
      <c r="R66" s="14" t="str">
        <f t="shared" si="3"/>
        <v>High Sell</v>
      </c>
      <c r="S66" s="8" t="str">
        <f t="shared" si="4"/>
        <v>High</v>
      </c>
      <c r="T66" s="8" t="str">
        <f t="shared" si="5"/>
        <v>High</v>
      </c>
      <c r="U66" s="8"/>
    </row>
    <row r="67" spans="1:21" ht="14.25" customHeight="1">
      <c r="A67" s="1">
        <v>10069</v>
      </c>
      <c r="B67" s="1">
        <v>1013</v>
      </c>
      <c r="C67" s="2">
        <v>45288</v>
      </c>
      <c r="D67" s="2">
        <v>45296</v>
      </c>
      <c r="E67" s="1" t="s">
        <v>14</v>
      </c>
      <c r="F67" s="1" t="s">
        <v>22</v>
      </c>
      <c r="G67" s="1" t="s">
        <v>16</v>
      </c>
      <c r="H67" s="1" t="s">
        <v>43</v>
      </c>
      <c r="I67" s="1" t="s">
        <v>56</v>
      </c>
      <c r="J67" s="1" t="s">
        <v>61</v>
      </c>
      <c r="K67" s="1" t="s">
        <v>32</v>
      </c>
      <c r="L67" s="1">
        <v>6</v>
      </c>
      <c r="M67" s="1">
        <v>1836.98</v>
      </c>
      <c r="N67" s="7">
        <v>5</v>
      </c>
      <c r="O67" s="16">
        <f t="shared" ref="O67:O130" si="6">L67*M67</f>
        <v>11021.880000000001</v>
      </c>
      <c r="P67" s="18">
        <f t="shared" ref="P67:P130" si="7">O67*N67%</f>
        <v>551.09400000000005</v>
      </c>
      <c r="Q67" s="18">
        <f t="shared" ref="Q67:Q130" si="8">O67-P67</f>
        <v>10470.786</v>
      </c>
      <c r="R67" s="14" t="str">
        <f t="shared" ref="R67:R130" si="9">IF(L67&gt;=5, "High Sell", "Low Sell")</f>
        <v>High Sell</v>
      </c>
      <c r="S67" s="8" t="str">
        <f t="shared" ref="S67:S130" si="10">_xlfn.IFS(L67&lt;5, "Low", L67=5, "Medium", L67&gt;5, "High")</f>
        <v>High</v>
      </c>
      <c r="T67" s="8" t="str">
        <f t="shared" ref="T67:T130" si="11">IF(L67&gt;5,"High",(IF(L67=5,"Medium","Low")))</f>
        <v>High</v>
      </c>
      <c r="U67" s="8"/>
    </row>
    <row r="68" spans="1:21" ht="14.25" customHeight="1">
      <c r="A68" s="1">
        <v>10070</v>
      </c>
      <c r="B68" s="1">
        <v>1241</v>
      </c>
      <c r="C68" s="2">
        <v>45112</v>
      </c>
      <c r="D68" s="2">
        <v>45113</v>
      </c>
      <c r="E68" s="1" t="s">
        <v>45</v>
      </c>
      <c r="F68" s="1" t="s">
        <v>40</v>
      </c>
      <c r="G68" s="1" t="s">
        <v>16</v>
      </c>
      <c r="H68" s="1" t="s">
        <v>34</v>
      </c>
      <c r="I68" s="1" t="s">
        <v>30</v>
      </c>
      <c r="J68" s="1" t="s">
        <v>38</v>
      </c>
      <c r="K68" s="1" t="s">
        <v>32</v>
      </c>
      <c r="L68" s="1">
        <v>4</v>
      </c>
      <c r="M68" s="1">
        <v>3612.15</v>
      </c>
      <c r="N68" s="7">
        <v>20</v>
      </c>
      <c r="O68" s="16">
        <f t="shared" si="6"/>
        <v>14448.6</v>
      </c>
      <c r="P68" s="18">
        <f t="shared" si="7"/>
        <v>2889.7200000000003</v>
      </c>
      <c r="Q68" s="18">
        <f t="shared" si="8"/>
        <v>11558.880000000001</v>
      </c>
      <c r="R68" s="14" t="str">
        <f t="shared" si="9"/>
        <v>Low Sell</v>
      </c>
      <c r="S68" s="8" t="str">
        <f t="shared" si="10"/>
        <v>Low</v>
      </c>
      <c r="T68" s="8" t="str">
        <f t="shared" si="11"/>
        <v>Low</v>
      </c>
      <c r="U68" s="8"/>
    </row>
    <row r="69" spans="1:21" ht="14.25" customHeight="1">
      <c r="A69" s="1">
        <v>10071</v>
      </c>
      <c r="B69" s="1">
        <v>1776</v>
      </c>
      <c r="C69" s="2">
        <v>45070</v>
      </c>
      <c r="D69" s="2">
        <v>45078</v>
      </c>
      <c r="E69" s="1" t="s">
        <v>14</v>
      </c>
      <c r="F69" s="1" t="s">
        <v>28</v>
      </c>
      <c r="G69" s="1" t="s">
        <v>16</v>
      </c>
      <c r="H69" s="1" t="s">
        <v>17</v>
      </c>
      <c r="I69" s="1" t="s">
        <v>25</v>
      </c>
      <c r="J69" s="1" t="s">
        <v>60</v>
      </c>
      <c r="K69" s="1" t="s">
        <v>46</v>
      </c>
      <c r="L69" s="1">
        <v>3</v>
      </c>
      <c r="M69" s="1">
        <v>3854.71</v>
      </c>
      <c r="N69" s="7">
        <v>5</v>
      </c>
      <c r="O69" s="16">
        <f t="shared" si="6"/>
        <v>11564.130000000001</v>
      </c>
      <c r="P69" s="18">
        <f t="shared" si="7"/>
        <v>578.20650000000012</v>
      </c>
      <c r="Q69" s="18">
        <f t="shared" si="8"/>
        <v>10985.923500000001</v>
      </c>
      <c r="R69" s="14" t="str">
        <f t="shared" si="9"/>
        <v>Low Sell</v>
      </c>
      <c r="S69" s="8" t="str">
        <f t="shared" si="10"/>
        <v>Low</v>
      </c>
      <c r="T69" s="8" t="str">
        <f t="shared" si="11"/>
        <v>Low</v>
      </c>
      <c r="U69" s="8"/>
    </row>
    <row r="70" spans="1:21" ht="14.25" customHeight="1">
      <c r="A70" s="1">
        <v>10072</v>
      </c>
      <c r="B70" s="1">
        <v>1345</v>
      </c>
      <c r="C70" s="2">
        <v>44998</v>
      </c>
      <c r="D70" s="2">
        <v>45005</v>
      </c>
      <c r="E70" s="1" t="s">
        <v>15</v>
      </c>
      <c r="F70" s="1" t="s">
        <v>53</v>
      </c>
      <c r="G70" s="1" t="s">
        <v>16</v>
      </c>
      <c r="H70" s="1" t="s">
        <v>17</v>
      </c>
      <c r="I70" s="1" t="s">
        <v>18</v>
      </c>
      <c r="J70" s="1" t="s">
        <v>54</v>
      </c>
      <c r="K70" s="1" t="s">
        <v>46</v>
      </c>
      <c r="L70" s="1">
        <v>3</v>
      </c>
      <c r="M70" s="1">
        <v>1859.84</v>
      </c>
      <c r="N70" s="7">
        <v>15</v>
      </c>
      <c r="O70" s="16">
        <f t="shared" si="6"/>
        <v>5579.5199999999995</v>
      </c>
      <c r="P70" s="18">
        <f t="shared" si="7"/>
        <v>836.92799999999988</v>
      </c>
      <c r="Q70" s="18">
        <f t="shared" si="8"/>
        <v>4742.5919999999996</v>
      </c>
      <c r="R70" s="14" t="str">
        <f t="shared" si="9"/>
        <v>Low Sell</v>
      </c>
      <c r="S70" s="8" t="str">
        <f t="shared" si="10"/>
        <v>Low</v>
      </c>
      <c r="T70" s="8" t="str">
        <f t="shared" si="11"/>
        <v>Low</v>
      </c>
      <c r="U70" s="8"/>
    </row>
    <row r="71" spans="1:21" ht="14.25" customHeight="1">
      <c r="A71" s="1">
        <v>10073</v>
      </c>
      <c r="B71" s="1">
        <v>1564</v>
      </c>
      <c r="C71" s="2">
        <v>45055</v>
      </c>
      <c r="D71" s="2">
        <v>45063</v>
      </c>
      <c r="E71" s="1" t="s">
        <v>39</v>
      </c>
      <c r="F71" s="1" t="s">
        <v>15</v>
      </c>
      <c r="G71" s="1" t="s">
        <v>16</v>
      </c>
      <c r="H71" s="1" t="s">
        <v>24</v>
      </c>
      <c r="I71" s="1" t="s">
        <v>48</v>
      </c>
      <c r="J71" s="1" t="s">
        <v>66</v>
      </c>
      <c r="K71" s="1" t="s">
        <v>20</v>
      </c>
      <c r="L71" s="1">
        <v>1</v>
      </c>
      <c r="M71" s="1">
        <v>3037.61</v>
      </c>
      <c r="N71" s="7">
        <v>5</v>
      </c>
      <c r="O71" s="16">
        <f t="shared" si="6"/>
        <v>3037.61</v>
      </c>
      <c r="P71" s="18">
        <f t="shared" si="7"/>
        <v>151.88050000000001</v>
      </c>
      <c r="Q71" s="18">
        <f t="shared" si="8"/>
        <v>2885.7294999999999</v>
      </c>
      <c r="R71" s="14" t="str">
        <f t="shared" si="9"/>
        <v>Low Sell</v>
      </c>
      <c r="S71" s="8" t="str">
        <f t="shared" si="10"/>
        <v>Low</v>
      </c>
      <c r="T71" s="8" t="str">
        <f t="shared" si="11"/>
        <v>Low</v>
      </c>
      <c r="U71" s="8"/>
    </row>
    <row r="72" spans="1:21" ht="14.25" customHeight="1">
      <c r="A72" s="1">
        <v>10074</v>
      </c>
      <c r="B72" s="1">
        <v>1897</v>
      </c>
      <c r="C72" s="2">
        <v>45290</v>
      </c>
      <c r="D72" s="2">
        <v>45296</v>
      </c>
      <c r="E72" s="1" t="s">
        <v>15</v>
      </c>
      <c r="F72" s="1" t="s">
        <v>53</v>
      </c>
      <c r="G72" s="1" t="s">
        <v>29</v>
      </c>
      <c r="H72" s="1" t="s">
        <v>34</v>
      </c>
      <c r="I72" s="1" t="s">
        <v>18</v>
      </c>
      <c r="J72" s="1" t="s">
        <v>42</v>
      </c>
      <c r="K72" s="1" t="s">
        <v>32</v>
      </c>
      <c r="L72" s="1">
        <v>3</v>
      </c>
      <c r="M72" s="1">
        <v>2196.89</v>
      </c>
      <c r="N72" s="7">
        <v>0</v>
      </c>
      <c r="O72" s="16">
        <f t="shared" si="6"/>
        <v>6590.67</v>
      </c>
      <c r="P72" s="18">
        <f t="shared" si="7"/>
        <v>0</v>
      </c>
      <c r="Q72" s="18">
        <f t="shared" si="8"/>
        <v>6590.67</v>
      </c>
      <c r="R72" s="14" t="str">
        <f t="shared" si="9"/>
        <v>Low Sell</v>
      </c>
      <c r="S72" s="8" t="str">
        <f t="shared" si="10"/>
        <v>Low</v>
      </c>
      <c r="T72" s="8" t="str">
        <f t="shared" si="11"/>
        <v>Low</v>
      </c>
      <c r="U72" s="8"/>
    </row>
    <row r="73" spans="1:21" ht="14.25" customHeight="1">
      <c r="A73" s="1">
        <v>10075</v>
      </c>
      <c r="B73" s="1">
        <v>1339</v>
      </c>
      <c r="C73" s="2">
        <v>45187</v>
      </c>
      <c r="D73" s="2">
        <v>45196</v>
      </c>
      <c r="E73" s="1" t="s">
        <v>39</v>
      </c>
      <c r="F73" s="1" t="s">
        <v>15</v>
      </c>
      <c r="G73" s="1" t="s">
        <v>29</v>
      </c>
      <c r="H73" s="1" t="s">
        <v>41</v>
      </c>
      <c r="I73" s="1" t="s">
        <v>56</v>
      </c>
      <c r="J73" s="1" t="s">
        <v>57</v>
      </c>
      <c r="K73" s="1" t="s">
        <v>44</v>
      </c>
      <c r="L73" s="1">
        <v>4</v>
      </c>
      <c r="M73" s="1">
        <v>2220.46</v>
      </c>
      <c r="N73" s="7">
        <v>0</v>
      </c>
      <c r="O73" s="16">
        <f t="shared" si="6"/>
        <v>8881.84</v>
      </c>
      <c r="P73" s="18">
        <f t="shared" si="7"/>
        <v>0</v>
      </c>
      <c r="Q73" s="18">
        <f t="shared" si="8"/>
        <v>8881.84</v>
      </c>
      <c r="R73" s="14" t="str">
        <f t="shared" si="9"/>
        <v>Low Sell</v>
      </c>
      <c r="S73" s="8" t="str">
        <f t="shared" si="10"/>
        <v>Low</v>
      </c>
      <c r="T73" s="8" t="str">
        <f t="shared" si="11"/>
        <v>Low</v>
      </c>
      <c r="U73" s="8"/>
    </row>
    <row r="74" spans="1:21" ht="14.25" customHeight="1">
      <c r="A74" s="1">
        <v>10076</v>
      </c>
      <c r="B74" s="1">
        <v>1091</v>
      </c>
      <c r="C74" s="2">
        <v>44929</v>
      </c>
      <c r="D74" s="2">
        <v>44932</v>
      </c>
      <c r="E74" s="1" t="s">
        <v>21</v>
      </c>
      <c r="F74" s="1" t="s">
        <v>15</v>
      </c>
      <c r="G74" s="1" t="s">
        <v>29</v>
      </c>
      <c r="H74" s="1" t="s">
        <v>34</v>
      </c>
      <c r="I74" s="1" t="s">
        <v>30</v>
      </c>
      <c r="J74" s="1" t="s">
        <v>38</v>
      </c>
      <c r="K74" s="1" t="s">
        <v>32</v>
      </c>
      <c r="L74" s="1">
        <v>5</v>
      </c>
      <c r="M74" s="1">
        <v>1220.68</v>
      </c>
      <c r="N74" s="7">
        <v>20</v>
      </c>
      <c r="O74" s="16">
        <f t="shared" si="6"/>
        <v>6103.4000000000005</v>
      </c>
      <c r="P74" s="18">
        <f t="shared" si="7"/>
        <v>1220.68</v>
      </c>
      <c r="Q74" s="18">
        <f t="shared" si="8"/>
        <v>4882.72</v>
      </c>
      <c r="R74" s="14" t="str">
        <f t="shared" si="9"/>
        <v>High Sell</v>
      </c>
      <c r="S74" s="8" t="str">
        <f t="shared" si="10"/>
        <v>Medium</v>
      </c>
      <c r="T74" s="8" t="str">
        <f t="shared" si="11"/>
        <v>Medium</v>
      </c>
      <c r="U74" s="8"/>
    </row>
    <row r="75" spans="1:21" ht="14.25" customHeight="1">
      <c r="A75" s="1">
        <v>10077</v>
      </c>
      <c r="B75" s="1">
        <v>1366</v>
      </c>
      <c r="C75" s="2">
        <v>45030</v>
      </c>
      <c r="D75" s="2">
        <v>45034</v>
      </c>
      <c r="E75" s="1" t="s">
        <v>21</v>
      </c>
      <c r="F75" s="1" t="s">
        <v>53</v>
      </c>
      <c r="G75" s="1" t="s">
        <v>29</v>
      </c>
      <c r="H75" s="1" t="s">
        <v>24</v>
      </c>
      <c r="I75" s="1" t="s">
        <v>30</v>
      </c>
      <c r="J75" s="1" t="s">
        <v>31</v>
      </c>
      <c r="K75" s="1" t="s">
        <v>44</v>
      </c>
      <c r="L75" s="1">
        <v>3</v>
      </c>
      <c r="M75" s="1">
        <v>985.28</v>
      </c>
      <c r="N75" s="7">
        <v>10</v>
      </c>
      <c r="O75" s="16">
        <f t="shared" si="6"/>
        <v>2955.84</v>
      </c>
      <c r="P75" s="18">
        <f t="shared" si="7"/>
        <v>295.584</v>
      </c>
      <c r="Q75" s="18">
        <f t="shared" si="8"/>
        <v>2660.2560000000003</v>
      </c>
      <c r="R75" s="14" t="str">
        <f t="shared" si="9"/>
        <v>Low Sell</v>
      </c>
      <c r="S75" s="8" t="str">
        <f t="shared" si="10"/>
        <v>Low</v>
      </c>
      <c r="T75" s="8" t="str">
        <f t="shared" si="11"/>
        <v>Low</v>
      </c>
      <c r="U75" s="8"/>
    </row>
    <row r="76" spans="1:21" ht="14.25" customHeight="1">
      <c r="A76" s="1">
        <v>10079</v>
      </c>
      <c r="B76" s="1">
        <v>1454</v>
      </c>
      <c r="C76" s="2">
        <v>45246</v>
      </c>
      <c r="D76" s="2">
        <v>45254</v>
      </c>
      <c r="E76" s="1" t="s">
        <v>33</v>
      </c>
      <c r="F76" s="1" t="s">
        <v>15</v>
      </c>
      <c r="G76" s="1" t="s">
        <v>29</v>
      </c>
      <c r="H76" s="1" t="s">
        <v>34</v>
      </c>
      <c r="I76" s="1" t="s">
        <v>30</v>
      </c>
      <c r="J76" s="1" t="s">
        <v>31</v>
      </c>
      <c r="K76" s="1" t="s">
        <v>32</v>
      </c>
      <c r="L76" s="1">
        <v>5</v>
      </c>
      <c r="M76" s="1">
        <v>2291.86</v>
      </c>
      <c r="N76" s="7">
        <v>15</v>
      </c>
      <c r="O76" s="16">
        <f t="shared" si="6"/>
        <v>11459.300000000001</v>
      </c>
      <c r="P76" s="18">
        <f t="shared" si="7"/>
        <v>1718.8950000000002</v>
      </c>
      <c r="Q76" s="18">
        <f t="shared" si="8"/>
        <v>9740.4050000000007</v>
      </c>
      <c r="R76" s="14" t="str">
        <f t="shared" si="9"/>
        <v>High Sell</v>
      </c>
      <c r="S76" s="8" t="str">
        <f t="shared" si="10"/>
        <v>Medium</v>
      </c>
      <c r="T76" s="8" t="str">
        <f t="shared" si="11"/>
        <v>Medium</v>
      </c>
      <c r="U76" s="8"/>
    </row>
    <row r="77" spans="1:21" ht="14.25" customHeight="1">
      <c r="A77" s="1">
        <v>10080</v>
      </c>
      <c r="B77" s="1">
        <v>1427</v>
      </c>
      <c r="C77" s="2">
        <v>45288</v>
      </c>
      <c r="D77" s="2">
        <v>45293</v>
      </c>
      <c r="E77" s="1" t="s">
        <v>14</v>
      </c>
      <c r="F77" s="1" t="s">
        <v>53</v>
      </c>
      <c r="G77" s="1" t="s">
        <v>16</v>
      </c>
      <c r="H77" s="1" t="s">
        <v>24</v>
      </c>
      <c r="I77" s="1" t="s">
        <v>51</v>
      </c>
      <c r="J77" s="1" t="s">
        <v>55</v>
      </c>
      <c r="K77" s="1" t="s">
        <v>27</v>
      </c>
      <c r="L77" s="1">
        <v>3</v>
      </c>
      <c r="M77" s="1">
        <v>262.25</v>
      </c>
      <c r="N77" s="7">
        <v>10</v>
      </c>
      <c r="O77" s="16">
        <f t="shared" si="6"/>
        <v>786.75</v>
      </c>
      <c r="P77" s="18">
        <f t="shared" si="7"/>
        <v>78.675000000000011</v>
      </c>
      <c r="Q77" s="18">
        <f t="shared" si="8"/>
        <v>708.07500000000005</v>
      </c>
      <c r="R77" s="14" t="str">
        <f t="shared" si="9"/>
        <v>Low Sell</v>
      </c>
      <c r="S77" s="8" t="str">
        <f t="shared" si="10"/>
        <v>Low</v>
      </c>
      <c r="T77" s="8" t="str">
        <f t="shared" si="11"/>
        <v>Low</v>
      </c>
      <c r="U77" s="8"/>
    </row>
    <row r="78" spans="1:21" ht="14.25" customHeight="1">
      <c r="A78" s="1">
        <v>10081</v>
      </c>
      <c r="B78" s="1">
        <v>1508</v>
      </c>
      <c r="C78" s="2">
        <v>45280</v>
      </c>
      <c r="D78" s="2">
        <v>45283</v>
      </c>
      <c r="E78" s="1" t="s">
        <v>45</v>
      </c>
      <c r="F78" s="1" t="s">
        <v>15</v>
      </c>
      <c r="G78" s="1" t="s">
        <v>29</v>
      </c>
      <c r="H78" s="1" t="s">
        <v>17</v>
      </c>
      <c r="I78" s="1" t="s">
        <v>25</v>
      </c>
      <c r="J78" s="1" t="s">
        <v>26</v>
      </c>
      <c r="K78" s="1" t="s">
        <v>46</v>
      </c>
      <c r="L78" s="1">
        <v>6</v>
      </c>
      <c r="M78" s="1">
        <v>3642.91</v>
      </c>
      <c r="N78" s="7">
        <v>0</v>
      </c>
      <c r="O78" s="16">
        <f t="shared" si="6"/>
        <v>21857.46</v>
      </c>
      <c r="P78" s="18">
        <f t="shared" si="7"/>
        <v>0</v>
      </c>
      <c r="Q78" s="18">
        <f t="shared" si="8"/>
        <v>21857.46</v>
      </c>
      <c r="R78" s="14" t="str">
        <f t="shared" si="9"/>
        <v>High Sell</v>
      </c>
      <c r="S78" s="8" t="str">
        <f t="shared" si="10"/>
        <v>High</v>
      </c>
      <c r="T78" s="8" t="str">
        <f t="shared" si="11"/>
        <v>High</v>
      </c>
      <c r="U78" s="8"/>
    </row>
    <row r="79" spans="1:21" ht="14.25" customHeight="1">
      <c r="A79" s="1">
        <v>10082</v>
      </c>
      <c r="B79" s="1">
        <v>1775</v>
      </c>
      <c r="C79" s="2">
        <v>44936</v>
      </c>
      <c r="D79" s="2">
        <v>44942</v>
      </c>
      <c r="E79" s="1" t="s">
        <v>45</v>
      </c>
      <c r="F79" s="1" t="s">
        <v>37</v>
      </c>
      <c r="G79" s="1" t="s">
        <v>23</v>
      </c>
      <c r="H79" s="1" t="s">
        <v>41</v>
      </c>
      <c r="I79" s="1" t="s">
        <v>48</v>
      </c>
      <c r="J79" s="1" t="s">
        <v>62</v>
      </c>
      <c r="K79" s="1" t="s">
        <v>46</v>
      </c>
      <c r="L79" s="1">
        <v>6</v>
      </c>
      <c r="M79" s="1">
        <v>751.69</v>
      </c>
      <c r="N79" s="7">
        <v>0</v>
      </c>
      <c r="O79" s="16">
        <f t="shared" si="6"/>
        <v>4510.1400000000003</v>
      </c>
      <c r="P79" s="18">
        <f t="shared" si="7"/>
        <v>0</v>
      </c>
      <c r="Q79" s="18">
        <f t="shared" si="8"/>
        <v>4510.1400000000003</v>
      </c>
      <c r="R79" s="14" t="str">
        <f t="shared" si="9"/>
        <v>High Sell</v>
      </c>
      <c r="S79" s="8" t="str">
        <f t="shared" si="10"/>
        <v>High</v>
      </c>
      <c r="T79" s="8" t="str">
        <f t="shared" si="11"/>
        <v>High</v>
      </c>
      <c r="U79" s="8"/>
    </row>
    <row r="80" spans="1:21" ht="14.25" customHeight="1">
      <c r="A80" s="1">
        <v>10083</v>
      </c>
      <c r="B80" s="1">
        <v>1942</v>
      </c>
      <c r="C80" s="2">
        <v>45228</v>
      </c>
      <c r="D80" s="2">
        <v>45232</v>
      </c>
      <c r="E80" s="1" t="s">
        <v>36</v>
      </c>
      <c r="F80" s="1" t="s">
        <v>22</v>
      </c>
      <c r="G80" s="1" t="s">
        <v>16</v>
      </c>
      <c r="H80" s="1" t="s">
        <v>24</v>
      </c>
      <c r="I80" s="1" t="s">
        <v>56</v>
      </c>
      <c r="J80" s="1" t="s">
        <v>61</v>
      </c>
      <c r="K80" s="1" t="s">
        <v>20</v>
      </c>
      <c r="L80" s="1">
        <v>8</v>
      </c>
      <c r="M80" s="1">
        <v>997.34</v>
      </c>
      <c r="N80" s="7">
        <v>5</v>
      </c>
      <c r="O80" s="16">
        <f t="shared" si="6"/>
        <v>7978.72</v>
      </c>
      <c r="P80" s="18">
        <f t="shared" si="7"/>
        <v>398.93600000000004</v>
      </c>
      <c r="Q80" s="18">
        <f t="shared" si="8"/>
        <v>7579.7840000000006</v>
      </c>
      <c r="R80" s="14" t="str">
        <f t="shared" si="9"/>
        <v>High Sell</v>
      </c>
      <c r="S80" s="8" t="str">
        <f t="shared" si="10"/>
        <v>High</v>
      </c>
      <c r="T80" s="8" t="str">
        <f t="shared" si="11"/>
        <v>High</v>
      </c>
      <c r="U80" s="8"/>
    </row>
    <row r="81" spans="1:21" ht="14.25" customHeight="1">
      <c r="A81" s="1">
        <v>10084</v>
      </c>
      <c r="B81" s="1">
        <v>1034</v>
      </c>
      <c r="C81" s="2">
        <v>45157</v>
      </c>
      <c r="D81" s="2">
        <v>45166</v>
      </c>
      <c r="E81" s="1" t="s">
        <v>39</v>
      </c>
      <c r="F81" s="1" t="s">
        <v>28</v>
      </c>
      <c r="G81" s="1" t="s">
        <v>29</v>
      </c>
      <c r="H81" s="1" t="s">
        <v>43</v>
      </c>
      <c r="I81" s="1" t="s">
        <v>51</v>
      </c>
      <c r="J81" s="1" t="s">
        <v>55</v>
      </c>
      <c r="K81" s="1" t="s">
        <v>32</v>
      </c>
      <c r="L81" s="1">
        <v>2</v>
      </c>
      <c r="M81" s="1">
        <v>2145.36</v>
      </c>
      <c r="N81" s="7">
        <v>20</v>
      </c>
      <c r="O81" s="16">
        <f t="shared" si="6"/>
        <v>4290.72</v>
      </c>
      <c r="P81" s="18">
        <f t="shared" si="7"/>
        <v>858.14400000000012</v>
      </c>
      <c r="Q81" s="18">
        <f t="shared" si="8"/>
        <v>3432.576</v>
      </c>
      <c r="R81" s="14" t="str">
        <f t="shared" si="9"/>
        <v>Low Sell</v>
      </c>
      <c r="S81" s="8" t="str">
        <f t="shared" si="10"/>
        <v>Low</v>
      </c>
      <c r="T81" s="8" t="str">
        <f t="shared" si="11"/>
        <v>Low</v>
      </c>
      <c r="U81" s="8"/>
    </row>
    <row r="82" spans="1:21" ht="14.25" customHeight="1">
      <c r="A82" s="1">
        <v>10085</v>
      </c>
      <c r="B82" s="1">
        <v>1205</v>
      </c>
      <c r="C82" s="2">
        <v>45145</v>
      </c>
      <c r="D82" s="2">
        <v>45148</v>
      </c>
      <c r="E82" s="1" t="s">
        <v>45</v>
      </c>
      <c r="F82" s="1" t="s">
        <v>15</v>
      </c>
      <c r="G82" s="1" t="s">
        <v>29</v>
      </c>
      <c r="H82" s="1" t="s">
        <v>17</v>
      </c>
      <c r="I82" s="1" t="s">
        <v>48</v>
      </c>
      <c r="J82" s="1" t="s">
        <v>49</v>
      </c>
      <c r="K82" s="1" t="s">
        <v>27</v>
      </c>
      <c r="L82" s="1">
        <v>1</v>
      </c>
      <c r="M82" s="1">
        <v>2883.94</v>
      </c>
      <c r="N82" s="7">
        <v>20</v>
      </c>
      <c r="O82" s="16">
        <f t="shared" si="6"/>
        <v>2883.94</v>
      </c>
      <c r="P82" s="18">
        <f t="shared" si="7"/>
        <v>576.78800000000001</v>
      </c>
      <c r="Q82" s="18">
        <f t="shared" si="8"/>
        <v>2307.152</v>
      </c>
      <c r="R82" s="14" t="str">
        <f t="shared" si="9"/>
        <v>Low Sell</v>
      </c>
      <c r="S82" s="8" t="str">
        <f t="shared" si="10"/>
        <v>Low</v>
      </c>
      <c r="T82" s="8" t="str">
        <f t="shared" si="11"/>
        <v>Low</v>
      </c>
      <c r="U82" s="8"/>
    </row>
    <row r="83" spans="1:21" ht="14.25" customHeight="1">
      <c r="A83" s="1">
        <v>10086</v>
      </c>
      <c r="B83" s="1">
        <v>1080</v>
      </c>
      <c r="C83" s="2">
        <v>44992</v>
      </c>
      <c r="D83" s="2">
        <v>44996</v>
      </c>
      <c r="E83" s="1" t="s">
        <v>33</v>
      </c>
      <c r="F83" s="1" t="s">
        <v>37</v>
      </c>
      <c r="G83" s="1" t="s">
        <v>29</v>
      </c>
      <c r="H83" s="1" t="s">
        <v>43</v>
      </c>
      <c r="I83" s="1" t="s">
        <v>30</v>
      </c>
      <c r="J83" s="1" t="s">
        <v>64</v>
      </c>
      <c r="K83" s="1" t="s">
        <v>44</v>
      </c>
      <c r="L83" s="1">
        <v>4</v>
      </c>
      <c r="M83" s="1">
        <v>518.55999999999995</v>
      </c>
      <c r="N83" s="7">
        <v>20</v>
      </c>
      <c r="O83" s="16">
        <f t="shared" si="6"/>
        <v>2074.2399999999998</v>
      </c>
      <c r="P83" s="18">
        <f t="shared" si="7"/>
        <v>414.84799999999996</v>
      </c>
      <c r="Q83" s="18">
        <f t="shared" si="8"/>
        <v>1659.3919999999998</v>
      </c>
      <c r="R83" s="14" t="str">
        <f t="shared" si="9"/>
        <v>Low Sell</v>
      </c>
      <c r="S83" s="8" t="str">
        <f t="shared" si="10"/>
        <v>Low</v>
      </c>
      <c r="T83" s="8" t="str">
        <f t="shared" si="11"/>
        <v>Low</v>
      </c>
      <c r="U83" s="8"/>
    </row>
    <row r="84" spans="1:21" ht="14.25" customHeight="1">
      <c r="A84" s="1">
        <v>10087</v>
      </c>
      <c r="B84" s="1">
        <v>1931</v>
      </c>
      <c r="C84" s="2">
        <v>45038</v>
      </c>
      <c r="D84" s="2">
        <v>45045</v>
      </c>
      <c r="E84" s="1" t="s">
        <v>39</v>
      </c>
      <c r="F84" s="1" t="s">
        <v>28</v>
      </c>
      <c r="G84" s="1" t="s">
        <v>16</v>
      </c>
      <c r="H84" s="1" t="s">
        <v>17</v>
      </c>
      <c r="I84" s="1" t="s">
        <v>30</v>
      </c>
      <c r="J84" s="1" t="s">
        <v>38</v>
      </c>
      <c r="K84" s="1" t="s">
        <v>46</v>
      </c>
      <c r="L84" s="1">
        <v>7</v>
      </c>
      <c r="M84" s="1">
        <v>1373.12</v>
      </c>
      <c r="N84" s="7">
        <v>5</v>
      </c>
      <c r="O84" s="16">
        <f t="shared" si="6"/>
        <v>9611.84</v>
      </c>
      <c r="P84" s="18">
        <f t="shared" si="7"/>
        <v>480.59200000000004</v>
      </c>
      <c r="Q84" s="18">
        <f t="shared" si="8"/>
        <v>9131.2479999999996</v>
      </c>
      <c r="R84" s="14" t="str">
        <f t="shared" si="9"/>
        <v>High Sell</v>
      </c>
      <c r="S84" s="8" t="str">
        <f t="shared" si="10"/>
        <v>High</v>
      </c>
      <c r="T84" s="8" t="str">
        <f t="shared" si="11"/>
        <v>High</v>
      </c>
      <c r="U84" s="8"/>
    </row>
    <row r="85" spans="1:21" ht="14.25" customHeight="1">
      <c r="A85" s="1">
        <v>10088</v>
      </c>
      <c r="B85" s="1">
        <v>1561</v>
      </c>
      <c r="C85" s="2">
        <v>44939</v>
      </c>
      <c r="D85" s="2">
        <v>44946</v>
      </c>
      <c r="E85" s="1" t="s">
        <v>33</v>
      </c>
      <c r="F85" s="1" t="s">
        <v>28</v>
      </c>
      <c r="G85" s="1" t="s">
        <v>16</v>
      </c>
      <c r="H85" s="1" t="s">
        <v>41</v>
      </c>
      <c r="I85" s="1" t="s">
        <v>48</v>
      </c>
      <c r="J85" s="1" t="s">
        <v>62</v>
      </c>
      <c r="K85" s="1" t="s">
        <v>46</v>
      </c>
      <c r="L85" s="1">
        <v>3</v>
      </c>
      <c r="M85" s="1">
        <v>3879.4</v>
      </c>
      <c r="N85" s="7">
        <v>20</v>
      </c>
      <c r="O85" s="16">
        <f t="shared" si="6"/>
        <v>11638.2</v>
      </c>
      <c r="P85" s="18">
        <f t="shared" si="7"/>
        <v>2327.6400000000003</v>
      </c>
      <c r="Q85" s="18">
        <f t="shared" si="8"/>
        <v>9310.5600000000013</v>
      </c>
      <c r="R85" s="14" t="str">
        <f t="shared" si="9"/>
        <v>Low Sell</v>
      </c>
      <c r="S85" s="8" t="str">
        <f t="shared" si="10"/>
        <v>Low</v>
      </c>
      <c r="T85" s="8" t="str">
        <f t="shared" si="11"/>
        <v>Low</v>
      </c>
      <c r="U85" s="8"/>
    </row>
    <row r="86" spans="1:21" ht="14.25" customHeight="1">
      <c r="A86" s="1">
        <v>10091</v>
      </c>
      <c r="B86" s="1">
        <v>1001</v>
      </c>
      <c r="C86" s="2">
        <v>45016</v>
      </c>
      <c r="D86" s="2">
        <v>45019</v>
      </c>
      <c r="E86" s="1" t="s">
        <v>36</v>
      </c>
      <c r="F86" s="1" t="s">
        <v>15</v>
      </c>
      <c r="G86" s="1" t="s">
        <v>16</v>
      </c>
      <c r="H86" s="1" t="s">
        <v>43</v>
      </c>
      <c r="I86" s="1" t="s">
        <v>25</v>
      </c>
      <c r="J86" s="1" t="s">
        <v>26</v>
      </c>
      <c r="K86" s="1" t="s">
        <v>27</v>
      </c>
      <c r="L86" s="1">
        <v>5</v>
      </c>
      <c r="M86" s="1">
        <v>3370.52</v>
      </c>
      <c r="N86" s="7">
        <v>10</v>
      </c>
      <c r="O86" s="16">
        <f t="shared" si="6"/>
        <v>16852.599999999999</v>
      </c>
      <c r="P86" s="18">
        <f t="shared" si="7"/>
        <v>1685.26</v>
      </c>
      <c r="Q86" s="18">
        <f t="shared" si="8"/>
        <v>15167.339999999998</v>
      </c>
      <c r="R86" s="14" t="str">
        <f t="shared" si="9"/>
        <v>High Sell</v>
      </c>
      <c r="S86" s="8" t="str">
        <f t="shared" si="10"/>
        <v>Medium</v>
      </c>
      <c r="T86" s="8" t="str">
        <f t="shared" si="11"/>
        <v>Medium</v>
      </c>
      <c r="U86" s="8"/>
    </row>
    <row r="87" spans="1:21" ht="14.25" customHeight="1">
      <c r="A87" s="1">
        <v>10092</v>
      </c>
      <c r="B87" s="1">
        <v>1389</v>
      </c>
      <c r="C87" s="2">
        <v>45240</v>
      </c>
      <c r="D87" s="2">
        <v>45246</v>
      </c>
      <c r="E87" s="1" t="s">
        <v>45</v>
      </c>
      <c r="F87" s="1" t="s">
        <v>37</v>
      </c>
      <c r="G87" s="1" t="s">
        <v>29</v>
      </c>
      <c r="H87" s="1" t="s">
        <v>17</v>
      </c>
      <c r="I87" s="1" t="s">
        <v>48</v>
      </c>
      <c r="J87" s="1" t="s">
        <v>49</v>
      </c>
      <c r="K87" s="1" t="s">
        <v>32</v>
      </c>
      <c r="L87" s="1">
        <v>3</v>
      </c>
      <c r="M87" s="1">
        <v>343.33</v>
      </c>
      <c r="N87" s="7">
        <v>5</v>
      </c>
      <c r="O87" s="16">
        <f t="shared" si="6"/>
        <v>1029.99</v>
      </c>
      <c r="P87" s="18">
        <f t="shared" si="7"/>
        <v>51.499500000000005</v>
      </c>
      <c r="Q87" s="18">
        <f t="shared" si="8"/>
        <v>978.4905</v>
      </c>
      <c r="R87" s="14" t="str">
        <f t="shared" si="9"/>
        <v>Low Sell</v>
      </c>
      <c r="S87" s="8" t="str">
        <f t="shared" si="10"/>
        <v>Low</v>
      </c>
      <c r="T87" s="8" t="str">
        <f t="shared" si="11"/>
        <v>Low</v>
      </c>
      <c r="U87" s="8"/>
    </row>
    <row r="88" spans="1:21" ht="14.25" customHeight="1">
      <c r="A88" s="1">
        <v>10093</v>
      </c>
      <c r="B88" s="1">
        <v>1565</v>
      </c>
      <c r="C88" s="2">
        <v>44980</v>
      </c>
      <c r="D88" s="2">
        <v>44982</v>
      </c>
      <c r="E88" s="1" t="s">
        <v>39</v>
      </c>
      <c r="F88" s="1" t="s">
        <v>28</v>
      </c>
      <c r="G88" s="1" t="s">
        <v>16</v>
      </c>
      <c r="H88" s="1" t="s">
        <v>41</v>
      </c>
      <c r="I88" s="1" t="s">
        <v>51</v>
      </c>
      <c r="J88" s="1" t="s">
        <v>55</v>
      </c>
      <c r="K88" s="1" t="s">
        <v>32</v>
      </c>
      <c r="L88" s="1">
        <v>9</v>
      </c>
      <c r="M88" s="1">
        <v>1938.76</v>
      </c>
      <c r="N88" s="7">
        <v>20</v>
      </c>
      <c r="O88" s="16">
        <f t="shared" si="6"/>
        <v>17448.84</v>
      </c>
      <c r="P88" s="18">
        <f t="shared" si="7"/>
        <v>3489.768</v>
      </c>
      <c r="Q88" s="18">
        <f t="shared" si="8"/>
        <v>13959.072</v>
      </c>
      <c r="R88" s="14" t="str">
        <f t="shared" si="9"/>
        <v>High Sell</v>
      </c>
      <c r="S88" s="8" t="str">
        <f t="shared" si="10"/>
        <v>High</v>
      </c>
      <c r="T88" s="8" t="str">
        <f t="shared" si="11"/>
        <v>High</v>
      </c>
      <c r="U88" s="8"/>
    </row>
    <row r="89" spans="1:21" ht="14.25" customHeight="1">
      <c r="A89" s="1">
        <v>10094</v>
      </c>
      <c r="B89" s="1">
        <v>1105</v>
      </c>
      <c r="C89" s="2">
        <v>44938</v>
      </c>
      <c r="D89" s="2">
        <v>44946</v>
      </c>
      <c r="E89" s="1" t="s">
        <v>21</v>
      </c>
      <c r="F89" s="1" t="s">
        <v>15</v>
      </c>
      <c r="G89" s="1" t="s">
        <v>29</v>
      </c>
      <c r="H89" s="1" t="s">
        <v>24</v>
      </c>
      <c r="I89" s="1" t="s">
        <v>51</v>
      </c>
      <c r="J89" s="1" t="s">
        <v>59</v>
      </c>
      <c r="K89" s="1" t="s">
        <v>20</v>
      </c>
      <c r="L89" s="1">
        <v>4</v>
      </c>
      <c r="M89" s="1">
        <v>1611.52</v>
      </c>
      <c r="N89" s="7">
        <v>10</v>
      </c>
      <c r="O89" s="16">
        <f t="shared" si="6"/>
        <v>6446.08</v>
      </c>
      <c r="P89" s="18">
        <f t="shared" si="7"/>
        <v>644.60800000000006</v>
      </c>
      <c r="Q89" s="18">
        <f t="shared" si="8"/>
        <v>5801.4719999999998</v>
      </c>
      <c r="R89" s="14" t="str">
        <f t="shared" si="9"/>
        <v>Low Sell</v>
      </c>
      <c r="S89" s="8" t="str">
        <f t="shared" si="10"/>
        <v>Low</v>
      </c>
      <c r="T89" s="8" t="str">
        <f t="shared" si="11"/>
        <v>Low</v>
      </c>
      <c r="U89" s="8"/>
    </row>
    <row r="90" spans="1:21" ht="14.25" customHeight="1">
      <c r="A90" s="1">
        <v>10095</v>
      </c>
      <c r="B90" s="1">
        <v>1771</v>
      </c>
      <c r="C90" s="2">
        <v>45135</v>
      </c>
      <c r="D90" s="2">
        <v>45137</v>
      </c>
      <c r="E90" s="1" t="s">
        <v>39</v>
      </c>
      <c r="F90" s="1" t="s">
        <v>53</v>
      </c>
      <c r="G90" s="1" t="s">
        <v>29</v>
      </c>
      <c r="H90" s="1" t="s">
        <v>41</v>
      </c>
      <c r="I90" s="1" t="s">
        <v>48</v>
      </c>
      <c r="J90" s="1" t="s">
        <v>49</v>
      </c>
      <c r="K90" s="1" t="s">
        <v>46</v>
      </c>
      <c r="L90" s="1">
        <v>3</v>
      </c>
      <c r="M90" s="1">
        <v>1368.86</v>
      </c>
      <c r="N90" s="7">
        <v>10</v>
      </c>
      <c r="O90" s="16">
        <f t="shared" si="6"/>
        <v>4106.58</v>
      </c>
      <c r="P90" s="18">
        <f t="shared" si="7"/>
        <v>410.65800000000002</v>
      </c>
      <c r="Q90" s="18">
        <f t="shared" si="8"/>
        <v>3695.922</v>
      </c>
      <c r="R90" s="14" t="str">
        <f t="shared" si="9"/>
        <v>Low Sell</v>
      </c>
      <c r="S90" s="8" t="str">
        <f t="shared" si="10"/>
        <v>Low</v>
      </c>
      <c r="T90" s="8" t="str">
        <f t="shared" si="11"/>
        <v>Low</v>
      </c>
      <c r="U90" s="8"/>
    </row>
    <row r="91" spans="1:21" ht="14.25" customHeight="1">
      <c r="A91" s="1">
        <v>10096</v>
      </c>
      <c r="B91" s="1">
        <v>1821</v>
      </c>
      <c r="C91" s="2">
        <v>44940</v>
      </c>
      <c r="D91" s="2">
        <v>44947</v>
      </c>
      <c r="E91" s="1" t="s">
        <v>39</v>
      </c>
      <c r="F91" s="1" t="s">
        <v>15</v>
      </c>
      <c r="G91" s="1" t="s">
        <v>16</v>
      </c>
      <c r="H91" s="1" t="s">
        <v>24</v>
      </c>
      <c r="I91" s="1" t="s">
        <v>51</v>
      </c>
      <c r="J91" s="1" t="s">
        <v>59</v>
      </c>
      <c r="K91" s="1" t="s">
        <v>32</v>
      </c>
      <c r="L91" s="1">
        <v>2</v>
      </c>
      <c r="M91" s="1">
        <v>1249.94</v>
      </c>
      <c r="N91" s="7">
        <v>10</v>
      </c>
      <c r="O91" s="16">
        <f t="shared" si="6"/>
        <v>2499.88</v>
      </c>
      <c r="P91" s="18">
        <f t="shared" si="7"/>
        <v>249.98800000000003</v>
      </c>
      <c r="Q91" s="18">
        <f t="shared" si="8"/>
        <v>2249.8920000000003</v>
      </c>
      <c r="R91" s="14" t="str">
        <f t="shared" si="9"/>
        <v>Low Sell</v>
      </c>
      <c r="S91" s="8" t="str">
        <f t="shared" si="10"/>
        <v>Low</v>
      </c>
      <c r="T91" s="8" t="str">
        <f t="shared" si="11"/>
        <v>Low</v>
      </c>
      <c r="U91" s="8"/>
    </row>
    <row r="92" spans="1:21" ht="14.25" customHeight="1">
      <c r="A92" s="1">
        <v>10097</v>
      </c>
      <c r="B92" s="1">
        <v>1476</v>
      </c>
      <c r="C92" s="2">
        <v>45047</v>
      </c>
      <c r="D92" s="2">
        <v>45056</v>
      </c>
      <c r="E92" s="1" t="s">
        <v>36</v>
      </c>
      <c r="F92" s="1" t="s">
        <v>22</v>
      </c>
      <c r="G92" s="1" t="s">
        <v>23</v>
      </c>
      <c r="H92" s="1" t="s">
        <v>17</v>
      </c>
      <c r="I92" s="1" t="s">
        <v>51</v>
      </c>
      <c r="J92" s="1" t="s">
        <v>59</v>
      </c>
      <c r="K92" s="1" t="s">
        <v>27</v>
      </c>
      <c r="L92" s="1">
        <v>9</v>
      </c>
      <c r="M92" s="1">
        <v>501.79</v>
      </c>
      <c r="N92" s="7">
        <v>5</v>
      </c>
      <c r="O92" s="16">
        <f t="shared" si="6"/>
        <v>4516.1100000000006</v>
      </c>
      <c r="P92" s="18">
        <f t="shared" si="7"/>
        <v>225.80550000000005</v>
      </c>
      <c r="Q92" s="18">
        <f t="shared" si="8"/>
        <v>4290.3045000000002</v>
      </c>
      <c r="R92" s="14" t="str">
        <f t="shared" si="9"/>
        <v>High Sell</v>
      </c>
      <c r="S92" s="8" t="str">
        <f t="shared" si="10"/>
        <v>High</v>
      </c>
      <c r="T92" s="8" t="str">
        <f t="shared" si="11"/>
        <v>High</v>
      </c>
      <c r="U92" s="8"/>
    </row>
    <row r="93" spans="1:21" ht="14.25" customHeight="1">
      <c r="A93" s="1">
        <v>10098</v>
      </c>
      <c r="B93" s="1">
        <v>1702</v>
      </c>
      <c r="C93" s="2">
        <v>44946</v>
      </c>
      <c r="D93" s="2">
        <v>44947</v>
      </c>
      <c r="E93" s="1" t="s">
        <v>36</v>
      </c>
      <c r="F93" s="1" t="s">
        <v>53</v>
      </c>
      <c r="G93" s="1" t="s">
        <v>23</v>
      </c>
      <c r="H93" s="1" t="s">
        <v>41</v>
      </c>
      <c r="I93" s="1" t="s">
        <v>25</v>
      </c>
      <c r="J93" s="1" t="s">
        <v>35</v>
      </c>
      <c r="K93" s="1" t="s">
        <v>44</v>
      </c>
      <c r="L93" s="1">
        <v>4</v>
      </c>
      <c r="M93" s="1">
        <v>1362.08</v>
      </c>
      <c r="N93" s="7">
        <v>15</v>
      </c>
      <c r="O93" s="16">
        <f t="shared" si="6"/>
        <v>5448.32</v>
      </c>
      <c r="P93" s="18">
        <f t="shared" si="7"/>
        <v>817.24799999999993</v>
      </c>
      <c r="Q93" s="18">
        <f t="shared" si="8"/>
        <v>4631.0720000000001</v>
      </c>
      <c r="R93" s="14" t="str">
        <f t="shared" si="9"/>
        <v>Low Sell</v>
      </c>
      <c r="S93" s="8" t="str">
        <f t="shared" si="10"/>
        <v>Low</v>
      </c>
      <c r="T93" s="8" t="str">
        <f t="shared" si="11"/>
        <v>Low</v>
      </c>
      <c r="U93" s="8"/>
    </row>
    <row r="94" spans="1:21" ht="14.25" customHeight="1">
      <c r="A94" s="1">
        <v>10099</v>
      </c>
      <c r="B94" s="1">
        <v>1401</v>
      </c>
      <c r="C94" s="2">
        <v>45001</v>
      </c>
      <c r="D94" s="2">
        <v>45009</v>
      </c>
      <c r="E94" s="1" t="s">
        <v>45</v>
      </c>
      <c r="F94" s="1" t="s">
        <v>37</v>
      </c>
      <c r="G94" s="1" t="s">
        <v>16</v>
      </c>
      <c r="H94" s="1" t="s">
        <v>41</v>
      </c>
      <c r="I94" s="1" t="s">
        <v>51</v>
      </c>
      <c r="J94" s="1" t="s">
        <v>52</v>
      </c>
      <c r="K94" s="1" t="s">
        <v>27</v>
      </c>
      <c r="L94" s="1">
        <v>3</v>
      </c>
      <c r="M94" s="1">
        <v>315.75</v>
      </c>
      <c r="N94" s="7">
        <v>20</v>
      </c>
      <c r="O94" s="16">
        <f t="shared" si="6"/>
        <v>947.25</v>
      </c>
      <c r="P94" s="18">
        <f t="shared" si="7"/>
        <v>189.45000000000002</v>
      </c>
      <c r="Q94" s="18">
        <f t="shared" si="8"/>
        <v>757.8</v>
      </c>
      <c r="R94" s="14" t="str">
        <f t="shared" si="9"/>
        <v>Low Sell</v>
      </c>
      <c r="S94" s="8" t="str">
        <f t="shared" si="10"/>
        <v>Low</v>
      </c>
      <c r="T94" s="8" t="str">
        <f t="shared" si="11"/>
        <v>Low</v>
      </c>
      <c r="U94" s="8"/>
    </row>
    <row r="95" spans="1:21" ht="14.25" customHeight="1">
      <c r="A95" s="1">
        <v>10100</v>
      </c>
      <c r="B95" s="1">
        <v>1729</v>
      </c>
      <c r="C95" s="2">
        <v>45169</v>
      </c>
      <c r="D95" s="2">
        <v>45176</v>
      </c>
      <c r="E95" s="1" t="s">
        <v>15</v>
      </c>
      <c r="F95" s="1" t="s">
        <v>28</v>
      </c>
      <c r="G95" s="1" t="s">
        <v>23</v>
      </c>
      <c r="H95" s="1" t="s">
        <v>17</v>
      </c>
      <c r="I95" s="1" t="s">
        <v>18</v>
      </c>
      <c r="J95" s="1" t="s">
        <v>42</v>
      </c>
      <c r="K95" s="1" t="s">
        <v>46</v>
      </c>
      <c r="L95" s="1">
        <v>7</v>
      </c>
      <c r="M95" s="1">
        <v>3156.71</v>
      </c>
      <c r="N95" s="7">
        <v>10</v>
      </c>
      <c r="O95" s="16">
        <f t="shared" si="6"/>
        <v>22096.97</v>
      </c>
      <c r="P95" s="18">
        <f t="shared" si="7"/>
        <v>2209.6970000000001</v>
      </c>
      <c r="Q95" s="18">
        <f t="shared" si="8"/>
        <v>19887.273000000001</v>
      </c>
      <c r="R95" s="14" t="str">
        <f t="shared" si="9"/>
        <v>High Sell</v>
      </c>
      <c r="S95" s="8" t="str">
        <f t="shared" si="10"/>
        <v>High</v>
      </c>
      <c r="T95" s="8" t="str">
        <f t="shared" si="11"/>
        <v>High</v>
      </c>
      <c r="U95" s="8"/>
    </row>
    <row r="96" spans="1:21" ht="14.25" customHeight="1">
      <c r="A96" s="1">
        <v>10101</v>
      </c>
      <c r="B96" s="1">
        <v>1555</v>
      </c>
      <c r="C96" s="2">
        <v>45149</v>
      </c>
      <c r="D96" s="2">
        <v>45155</v>
      </c>
      <c r="E96" s="1" t="s">
        <v>15</v>
      </c>
      <c r="F96" s="1" t="s">
        <v>15</v>
      </c>
      <c r="G96" s="1" t="s">
        <v>29</v>
      </c>
      <c r="H96" s="1" t="s">
        <v>41</v>
      </c>
      <c r="I96" s="1" t="s">
        <v>56</v>
      </c>
      <c r="J96" s="1" t="s">
        <v>58</v>
      </c>
      <c r="K96" s="1" t="s">
        <v>27</v>
      </c>
      <c r="L96" s="1">
        <v>8</v>
      </c>
      <c r="M96" s="1">
        <v>1683.18</v>
      </c>
      <c r="N96" s="7">
        <v>15</v>
      </c>
      <c r="O96" s="16">
        <f t="shared" si="6"/>
        <v>13465.44</v>
      </c>
      <c r="P96" s="18">
        <f t="shared" si="7"/>
        <v>2019.816</v>
      </c>
      <c r="Q96" s="18">
        <f t="shared" si="8"/>
        <v>11445.624</v>
      </c>
      <c r="R96" s="14" t="str">
        <f t="shared" si="9"/>
        <v>High Sell</v>
      </c>
      <c r="S96" s="8" t="str">
        <f t="shared" si="10"/>
        <v>High</v>
      </c>
      <c r="T96" s="8" t="str">
        <f t="shared" si="11"/>
        <v>High</v>
      </c>
      <c r="U96" s="8"/>
    </row>
    <row r="97" spans="1:21" ht="14.25" customHeight="1">
      <c r="A97" s="1">
        <v>10102</v>
      </c>
      <c r="B97" s="1">
        <v>1161</v>
      </c>
      <c r="C97" s="2">
        <v>44996</v>
      </c>
      <c r="D97" s="2">
        <v>45002</v>
      </c>
      <c r="E97" s="1" t="s">
        <v>36</v>
      </c>
      <c r="F97" s="1" t="s">
        <v>53</v>
      </c>
      <c r="G97" s="1" t="s">
        <v>29</v>
      </c>
      <c r="H97" s="1" t="s">
        <v>24</v>
      </c>
      <c r="I97" s="1" t="s">
        <v>30</v>
      </c>
      <c r="J97" s="1" t="s">
        <v>38</v>
      </c>
      <c r="K97" s="1" t="s">
        <v>20</v>
      </c>
      <c r="L97" s="1">
        <v>2</v>
      </c>
      <c r="M97" s="1">
        <v>1859.03</v>
      </c>
      <c r="N97" s="7">
        <v>20</v>
      </c>
      <c r="O97" s="16">
        <f t="shared" si="6"/>
        <v>3718.06</v>
      </c>
      <c r="P97" s="18">
        <f t="shared" si="7"/>
        <v>743.61200000000008</v>
      </c>
      <c r="Q97" s="18">
        <f t="shared" si="8"/>
        <v>2974.4479999999999</v>
      </c>
      <c r="R97" s="14" t="str">
        <f t="shared" si="9"/>
        <v>Low Sell</v>
      </c>
      <c r="S97" s="8" t="str">
        <f t="shared" si="10"/>
        <v>Low</v>
      </c>
      <c r="T97" s="8" t="str">
        <f t="shared" si="11"/>
        <v>Low</v>
      </c>
      <c r="U97" s="8"/>
    </row>
    <row r="98" spans="1:21" ht="14.25" customHeight="1">
      <c r="A98" s="1">
        <v>10103</v>
      </c>
      <c r="B98" s="1">
        <v>1201</v>
      </c>
      <c r="C98" s="2">
        <v>45238</v>
      </c>
      <c r="D98" s="2">
        <v>45244</v>
      </c>
      <c r="E98" s="1" t="s">
        <v>45</v>
      </c>
      <c r="F98" s="1" t="s">
        <v>22</v>
      </c>
      <c r="G98" s="1" t="s">
        <v>16</v>
      </c>
      <c r="H98" s="1" t="s">
        <v>41</v>
      </c>
      <c r="I98" s="1" t="s">
        <v>18</v>
      </c>
      <c r="J98" s="1" t="s">
        <v>19</v>
      </c>
      <c r="K98" s="1" t="s">
        <v>46</v>
      </c>
      <c r="L98" s="1">
        <v>7</v>
      </c>
      <c r="M98" s="1">
        <v>3590.34</v>
      </c>
      <c r="N98" s="7">
        <v>20</v>
      </c>
      <c r="O98" s="16">
        <f t="shared" si="6"/>
        <v>25132.38</v>
      </c>
      <c r="P98" s="18">
        <f t="shared" si="7"/>
        <v>5026.4760000000006</v>
      </c>
      <c r="Q98" s="18">
        <f t="shared" si="8"/>
        <v>20105.904000000002</v>
      </c>
      <c r="R98" s="14" t="str">
        <f t="shared" si="9"/>
        <v>High Sell</v>
      </c>
      <c r="S98" s="8" t="str">
        <f t="shared" si="10"/>
        <v>High</v>
      </c>
      <c r="T98" s="8" t="str">
        <f t="shared" si="11"/>
        <v>High</v>
      </c>
      <c r="U98" s="8"/>
    </row>
    <row r="99" spans="1:21" ht="14.25" customHeight="1">
      <c r="A99" s="1">
        <v>10105</v>
      </c>
      <c r="B99" s="1">
        <v>1995</v>
      </c>
      <c r="C99" s="2">
        <v>45027</v>
      </c>
      <c r="D99" s="2">
        <v>45029</v>
      </c>
      <c r="E99" s="1" t="s">
        <v>45</v>
      </c>
      <c r="F99" s="1" t="s">
        <v>40</v>
      </c>
      <c r="G99" s="1" t="s">
        <v>23</v>
      </c>
      <c r="H99" s="1" t="s">
        <v>34</v>
      </c>
      <c r="I99" s="1" t="s">
        <v>25</v>
      </c>
      <c r="J99" s="1" t="s">
        <v>26</v>
      </c>
      <c r="K99" s="1" t="s">
        <v>20</v>
      </c>
      <c r="L99" s="1">
        <v>5</v>
      </c>
      <c r="M99" s="1">
        <v>181.03</v>
      </c>
      <c r="N99" s="7">
        <v>10</v>
      </c>
      <c r="O99" s="16">
        <f t="shared" si="6"/>
        <v>905.15</v>
      </c>
      <c r="P99" s="18">
        <f t="shared" si="7"/>
        <v>90.515000000000001</v>
      </c>
      <c r="Q99" s="18">
        <f t="shared" si="8"/>
        <v>814.63499999999999</v>
      </c>
      <c r="R99" s="14" t="str">
        <f t="shared" si="9"/>
        <v>High Sell</v>
      </c>
      <c r="S99" s="8" t="str">
        <f t="shared" si="10"/>
        <v>Medium</v>
      </c>
      <c r="T99" s="8" t="str">
        <f t="shared" si="11"/>
        <v>Medium</v>
      </c>
      <c r="U99" s="8"/>
    </row>
    <row r="100" spans="1:21" ht="14.25" customHeight="1">
      <c r="A100" s="1">
        <v>10106</v>
      </c>
      <c r="B100" s="1">
        <v>1269</v>
      </c>
      <c r="C100" s="2">
        <v>45112</v>
      </c>
      <c r="D100" s="2">
        <v>45113</v>
      </c>
      <c r="E100" s="1" t="s">
        <v>45</v>
      </c>
      <c r="F100" s="1" t="s">
        <v>22</v>
      </c>
      <c r="G100" s="1" t="s">
        <v>29</v>
      </c>
      <c r="H100" s="1" t="s">
        <v>24</v>
      </c>
      <c r="I100" s="1" t="s">
        <v>48</v>
      </c>
      <c r="J100" s="1" t="s">
        <v>62</v>
      </c>
      <c r="K100" s="1" t="s">
        <v>46</v>
      </c>
      <c r="L100" s="1">
        <v>3</v>
      </c>
      <c r="M100" s="1">
        <v>3781.22</v>
      </c>
      <c r="N100" s="7">
        <v>5</v>
      </c>
      <c r="O100" s="16">
        <f t="shared" si="6"/>
        <v>11343.66</v>
      </c>
      <c r="P100" s="18">
        <f t="shared" si="7"/>
        <v>567.18299999999999</v>
      </c>
      <c r="Q100" s="18">
        <f t="shared" si="8"/>
        <v>10776.476999999999</v>
      </c>
      <c r="R100" s="14" t="str">
        <f t="shared" si="9"/>
        <v>Low Sell</v>
      </c>
      <c r="S100" s="8" t="str">
        <f t="shared" si="10"/>
        <v>Low</v>
      </c>
      <c r="T100" s="8" t="str">
        <f t="shared" si="11"/>
        <v>Low</v>
      </c>
      <c r="U100" s="8"/>
    </row>
    <row r="101" spans="1:21" ht="14.25" customHeight="1">
      <c r="A101" s="1">
        <v>10107</v>
      </c>
      <c r="B101" s="1">
        <v>1862</v>
      </c>
      <c r="C101" s="2">
        <v>45058</v>
      </c>
      <c r="D101" s="2">
        <v>45064</v>
      </c>
      <c r="E101" s="1" t="s">
        <v>45</v>
      </c>
      <c r="F101" s="1" t="s">
        <v>37</v>
      </c>
      <c r="G101" s="1" t="s">
        <v>16</v>
      </c>
      <c r="H101" s="1" t="s">
        <v>43</v>
      </c>
      <c r="I101" s="1" t="s">
        <v>51</v>
      </c>
      <c r="J101" s="1" t="s">
        <v>59</v>
      </c>
      <c r="K101" s="1" t="s">
        <v>44</v>
      </c>
      <c r="L101" s="1">
        <v>5</v>
      </c>
      <c r="M101" s="1">
        <v>1063.01</v>
      </c>
      <c r="N101" s="7">
        <v>15</v>
      </c>
      <c r="O101" s="16">
        <f t="shared" si="6"/>
        <v>5315.05</v>
      </c>
      <c r="P101" s="18">
        <f t="shared" si="7"/>
        <v>797.25750000000005</v>
      </c>
      <c r="Q101" s="18">
        <f t="shared" si="8"/>
        <v>4517.7925000000005</v>
      </c>
      <c r="R101" s="14" t="str">
        <f t="shared" si="9"/>
        <v>High Sell</v>
      </c>
      <c r="S101" s="8" t="str">
        <f t="shared" si="10"/>
        <v>Medium</v>
      </c>
      <c r="T101" s="8" t="str">
        <f t="shared" si="11"/>
        <v>Medium</v>
      </c>
      <c r="U101" s="8"/>
    </row>
    <row r="102" spans="1:21" ht="14.25" customHeight="1">
      <c r="A102" s="1">
        <v>10108</v>
      </c>
      <c r="B102" s="1">
        <v>1815</v>
      </c>
      <c r="C102" s="2">
        <v>45037</v>
      </c>
      <c r="D102" s="2">
        <v>45045</v>
      </c>
      <c r="E102" s="1" t="s">
        <v>14</v>
      </c>
      <c r="F102" s="1" t="s">
        <v>28</v>
      </c>
      <c r="G102" s="1" t="s">
        <v>23</v>
      </c>
      <c r="H102" s="1" t="s">
        <v>17</v>
      </c>
      <c r="I102" s="1" t="s">
        <v>25</v>
      </c>
      <c r="J102" s="1" t="s">
        <v>35</v>
      </c>
      <c r="K102" s="1" t="s">
        <v>20</v>
      </c>
      <c r="L102" s="1">
        <v>2</v>
      </c>
      <c r="M102" s="1">
        <v>564.30999999999995</v>
      </c>
      <c r="N102" s="7">
        <v>15</v>
      </c>
      <c r="O102" s="16">
        <f t="shared" si="6"/>
        <v>1128.6199999999999</v>
      </c>
      <c r="P102" s="18">
        <f t="shared" si="7"/>
        <v>169.29299999999998</v>
      </c>
      <c r="Q102" s="18">
        <f t="shared" si="8"/>
        <v>959.32699999999988</v>
      </c>
      <c r="R102" s="14" t="str">
        <f t="shared" si="9"/>
        <v>Low Sell</v>
      </c>
      <c r="S102" s="8" t="str">
        <f t="shared" si="10"/>
        <v>Low</v>
      </c>
      <c r="T102" s="8" t="str">
        <f t="shared" si="11"/>
        <v>Low</v>
      </c>
      <c r="U102" s="8"/>
    </row>
    <row r="103" spans="1:21" ht="14.25" customHeight="1">
      <c r="A103" s="1">
        <v>10110</v>
      </c>
      <c r="B103" s="1">
        <v>1455</v>
      </c>
      <c r="C103" s="2">
        <v>44946</v>
      </c>
      <c r="D103" s="2">
        <v>44947</v>
      </c>
      <c r="E103" s="1" t="s">
        <v>45</v>
      </c>
      <c r="F103" s="1" t="s">
        <v>15</v>
      </c>
      <c r="G103" s="1" t="s">
        <v>23</v>
      </c>
      <c r="H103" s="1" t="s">
        <v>34</v>
      </c>
      <c r="I103" s="1" t="s">
        <v>51</v>
      </c>
      <c r="J103" s="1" t="s">
        <v>55</v>
      </c>
      <c r="K103" s="1" t="s">
        <v>46</v>
      </c>
      <c r="L103" s="1">
        <v>6</v>
      </c>
      <c r="M103" s="1">
        <v>2076.84</v>
      </c>
      <c r="N103" s="7">
        <v>20</v>
      </c>
      <c r="O103" s="16">
        <f t="shared" si="6"/>
        <v>12461.04</v>
      </c>
      <c r="P103" s="18">
        <f t="shared" si="7"/>
        <v>2492.2080000000005</v>
      </c>
      <c r="Q103" s="18">
        <f t="shared" si="8"/>
        <v>9968.8320000000003</v>
      </c>
      <c r="R103" s="14" t="str">
        <f t="shared" si="9"/>
        <v>High Sell</v>
      </c>
      <c r="S103" s="8" t="str">
        <f t="shared" si="10"/>
        <v>High</v>
      </c>
      <c r="T103" s="8" t="str">
        <f t="shared" si="11"/>
        <v>High</v>
      </c>
      <c r="U103" s="8"/>
    </row>
    <row r="104" spans="1:21" ht="14.25" customHeight="1">
      <c r="A104" s="1">
        <v>10111</v>
      </c>
      <c r="B104" s="1">
        <v>1461</v>
      </c>
      <c r="C104" s="2">
        <v>44950</v>
      </c>
      <c r="D104" s="2">
        <v>44959</v>
      </c>
      <c r="E104" s="1" t="s">
        <v>14</v>
      </c>
      <c r="F104" s="1" t="s">
        <v>53</v>
      </c>
      <c r="G104" s="1" t="s">
        <v>29</v>
      </c>
      <c r="H104" s="1" t="s">
        <v>34</v>
      </c>
      <c r="I104" s="1" t="s">
        <v>48</v>
      </c>
      <c r="J104" s="1" t="s">
        <v>66</v>
      </c>
      <c r="K104" s="1" t="s">
        <v>32</v>
      </c>
      <c r="L104" s="1">
        <v>1</v>
      </c>
      <c r="M104" s="1">
        <v>1820.02</v>
      </c>
      <c r="N104" s="7">
        <v>10</v>
      </c>
      <c r="O104" s="16">
        <f t="shared" si="6"/>
        <v>1820.02</v>
      </c>
      <c r="P104" s="18">
        <f t="shared" si="7"/>
        <v>182.00200000000001</v>
      </c>
      <c r="Q104" s="18">
        <f t="shared" si="8"/>
        <v>1638.018</v>
      </c>
      <c r="R104" s="14" t="str">
        <f t="shared" si="9"/>
        <v>Low Sell</v>
      </c>
      <c r="S104" s="8" t="str">
        <f t="shared" si="10"/>
        <v>Low</v>
      </c>
      <c r="T104" s="8" t="str">
        <f t="shared" si="11"/>
        <v>Low</v>
      </c>
      <c r="U104" s="8"/>
    </row>
    <row r="105" spans="1:21" ht="14.25" customHeight="1">
      <c r="A105" s="1">
        <v>10112</v>
      </c>
      <c r="B105" s="1">
        <v>1726</v>
      </c>
      <c r="C105" s="2">
        <v>45153</v>
      </c>
      <c r="D105" s="2">
        <v>45154</v>
      </c>
      <c r="E105" s="1" t="s">
        <v>36</v>
      </c>
      <c r="F105" s="1" t="s">
        <v>40</v>
      </c>
      <c r="G105" s="1" t="s">
        <v>29</v>
      </c>
      <c r="H105" s="1" t="s">
        <v>17</v>
      </c>
      <c r="I105" s="1" t="s">
        <v>25</v>
      </c>
      <c r="J105" s="1" t="s">
        <v>35</v>
      </c>
      <c r="K105" s="1" t="s">
        <v>20</v>
      </c>
      <c r="L105" s="1">
        <v>4</v>
      </c>
      <c r="M105" s="1">
        <v>1110.5899999999999</v>
      </c>
      <c r="N105" s="7">
        <v>20</v>
      </c>
      <c r="O105" s="16">
        <f t="shared" si="6"/>
        <v>4442.3599999999997</v>
      </c>
      <c r="P105" s="18">
        <f t="shared" si="7"/>
        <v>888.47199999999998</v>
      </c>
      <c r="Q105" s="18">
        <f t="shared" si="8"/>
        <v>3553.8879999999999</v>
      </c>
      <c r="R105" s="14" t="str">
        <f t="shared" si="9"/>
        <v>Low Sell</v>
      </c>
      <c r="S105" s="8" t="str">
        <f t="shared" si="10"/>
        <v>Low</v>
      </c>
      <c r="T105" s="8" t="str">
        <f t="shared" si="11"/>
        <v>Low</v>
      </c>
      <c r="U105" s="8"/>
    </row>
    <row r="106" spans="1:21" ht="14.25" customHeight="1">
      <c r="A106" s="1">
        <v>10113</v>
      </c>
      <c r="B106" s="1">
        <v>1251</v>
      </c>
      <c r="C106" s="2">
        <v>45080</v>
      </c>
      <c r="D106" s="2">
        <v>45083</v>
      </c>
      <c r="E106" s="1" t="s">
        <v>15</v>
      </c>
      <c r="F106" s="1" t="s">
        <v>22</v>
      </c>
      <c r="G106" s="1" t="s">
        <v>16</v>
      </c>
      <c r="H106" s="1" t="s">
        <v>17</v>
      </c>
      <c r="I106" s="1" t="s">
        <v>25</v>
      </c>
      <c r="J106" s="1" t="s">
        <v>60</v>
      </c>
      <c r="K106" s="1" t="s">
        <v>20</v>
      </c>
      <c r="L106" s="1">
        <v>6</v>
      </c>
      <c r="M106" s="1">
        <v>2257.77</v>
      </c>
      <c r="N106" s="7">
        <v>20</v>
      </c>
      <c r="O106" s="16">
        <f t="shared" si="6"/>
        <v>13546.619999999999</v>
      </c>
      <c r="P106" s="18">
        <f t="shared" si="7"/>
        <v>2709.3240000000001</v>
      </c>
      <c r="Q106" s="18">
        <f t="shared" si="8"/>
        <v>10837.295999999998</v>
      </c>
      <c r="R106" s="14" t="str">
        <f t="shared" si="9"/>
        <v>High Sell</v>
      </c>
      <c r="S106" s="8" t="str">
        <f t="shared" si="10"/>
        <v>High</v>
      </c>
      <c r="T106" s="8" t="str">
        <f t="shared" si="11"/>
        <v>High</v>
      </c>
      <c r="U106" s="8"/>
    </row>
    <row r="107" spans="1:21" ht="14.25" customHeight="1">
      <c r="A107" s="1">
        <v>10114</v>
      </c>
      <c r="B107" s="1">
        <v>1701</v>
      </c>
      <c r="C107" s="2">
        <v>45219</v>
      </c>
      <c r="D107" s="2">
        <v>45227</v>
      </c>
      <c r="E107" s="1" t="s">
        <v>39</v>
      </c>
      <c r="F107" s="1" t="s">
        <v>22</v>
      </c>
      <c r="G107" s="1" t="s">
        <v>29</v>
      </c>
      <c r="H107" s="1" t="s">
        <v>24</v>
      </c>
      <c r="I107" s="1" t="s">
        <v>25</v>
      </c>
      <c r="J107" s="1" t="s">
        <v>67</v>
      </c>
      <c r="K107" s="1" t="s">
        <v>44</v>
      </c>
      <c r="L107" s="1">
        <v>9</v>
      </c>
      <c r="M107" s="1">
        <v>1206.3800000000001</v>
      </c>
      <c r="N107" s="7">
        <v>10</v>
      </c>
      <c r="O107" s="16">
        <f t="shared" si="6"/>
        <v>10857.420000000002</v>
      </c>
      <c r="P107" s="18">
        <f t="shared" si="7"/>
        <v>1085.7420000000002</v>
      </c>
      <c r="Q107" s="18">
        <f t="shared" si="8"/>
        <v>9771.6780000000017</v>
      </c>
      <c r="R107" s="14" t="str">
        <f t="shared" si="9"/>
        <v>High Sell</v>
      </c>
      <c r="S107" s="8" t="str">
        <f t="shared" si="10"/>
        <v>High</v>
      </c>
      <c r="T107" s="8" t="str">
        <f t="shared" si="11"/>
        <v>High</v>
      </c>
      <c r="U107" s="8"/>
    </row>
    <row r="108" spans="1:21" ht="14.25" customHeight="1">
      <c r="A108" s="1">
        <v>10115</v>
      </c>
      <c r="B108" s="1">
        <v>1295</v>
      </c>
      <c r="C108" s="2">
        <v>45156</v>
      </c>
      <c r="D108" s="2">
        <v>45159</v>
      </c>
      <c r="E108" s="1" t="s">
        <v>21</v>
      </c>
      <c r="F108" s="1" t="s">
        <v>53</v>
      </c>
      <c r="G108" s="1" t="s">
        <v>23</v>
      </c>
      <c r="H108" s="1" t="s">
        <v>41</v>
      </c>
      <c r="I108" s="1" t="s">
        <v>56</v>
      </c>
      <c r="J108" s="1" t="s">
        <v>61</v>
      </c>
      <c r="K108" s="1" t="s">
        <v>27</v>
      </c>
      <c r="L108" s="1">
        <v>2</v>
      </c>
      <c r="M108" s="1">
        <v>3621.09</v>
      </c>
      <c r="N108" s="7">
        <v>0</v>
      </c>
      <c r="O108" s="16">
        <f t="shared" si="6"/>
        <v>7242.18</v>
      </c>
      <c r="P108" s="18">
        <f t="shared" si="7"/>
        <v>0</v>
      </c>
      <c r="Q108" s="18">
        <f t="shared" si="8"/>
        <v>7242.18</v>
      </c>
      <c r="R108" s="14" t="str">
        <f t="shared" si="9"/>
        <v>Low Sell</v>
      </c>
      <c r="S108" s="8" t="str">
        <f t="shared" si="10"/>
        <v>Low</v>
      </c>
      <c r="T108" s="8" t="str">
        <f t="shared" si="11"/>
        <v>Low</v>
      </c>
      <c r="U108" s="8"/>
    </row>
    <row r="109" spans="1:21" ht="14.25" customHeight="1">
      <c r="A109" s="1">
        <v>10116</v>
      </c>
      <c r="B109" s="1">
        <v>1724</v>
      </c>
      <c r="C109" s="2">
        <v>45236</v>
      </c>
      <c r="D109" s="2">
        <v>45240</v>
      </c>
      <c r="E109" s="1" t="s">
        <v>15</v>
      </c>
      <c r="F109" s="1" t="s">
        <v>40</v>
      </c>
      <c r="G109" s="1" t="s">
        <v>29</v>
      </c>
      <c r="H109" s="1" t="s">
        <v>17</v>
      </c>
      <c r="I109" s="1" t="s">
        <v>51</v>
      </c>
      <c r="J109" s="1" t="s">
        <v>59</v>
      </c>
      <c r="K109" s="1" t="s">
        <v>46</v>
      </c>
      <c r="L109" s="1">
        <v>7</v>
      </c>
      <c r="M109" s="1">
        <v>978.54</v>
      </c>
      <c r="N109" s="7">
        <v>15</v>
      </c>
      <c r="O109" s="16">
        <f t="shared" si="6"/>
        <v>6849.78</v>
      </c>
      <c r="P109" s="18">
        <f t="shared" si="7"/>
        <v>1027.4669999999999</v>
      </c>
      <c r="Q109" s="18">
        <f t="shared" si="8"/>
        <v>5822.3130000000001</v>
      </c>
      <c r="R109" s="14" t="str">
        <f t="shared" si="9"/>
        <v>High Sell</v>
      </c>
      <c r="S109" s="8" t="str">
        <f t="shared" si="10"/>
        <v>High</v>
      </c>
      <c r="T109" s="8" t="str">
        <f t="shared" si="11"/>
        <v>High</v>
      </c>
      <c r="U109" s="8"/>
    </row>
    <row r="110" spans="1:21" ht="14.25" customHeight="1">
      <c r="A110" s="1">
        <v>10117</v>
      </c>
      <c r="B110" s="1">
        <v>1719</v>
      </c>
      <c r="C110" s="2">
        <v>45285</v>
      </c>
      <c r="D110" s="2">
        <v>45293</v>
      </c>
      <c r="E110" s="1" t="s">
        <v>39</v>
      </c>
      <c r="F110" s="1" t="s">
        <v>53</v>
      </c>
      <c r="G110" s="1" t="s">
        <v>16</v>
      </c>
      <c r="H110" s="1" t="s">
        <v>41</v>
      </c>
      <c r="I110" s="1" t="s">
        <v>56</v>
      </c>
      <c r="J110" s="1" t="s">
        <v>57</v>
      </c>
      <c r="K110" s="1" t="s">
        <v>46</v>
      </c>
      <c r="L110" s="1">
        <v>6</v>
      </c>
      <c r="M110" s="1">
        <v>3554.77</v>
      </c>
      <c r="N110" s="7">
        <v>20</v>
      </c>
      <c r="O110" s="16">
        <f t="shared" si="6"/>
        <v>21328.62</v>
      </c>
      <c r="P110" s="18">
        <f t="shared" si="7"/>
        <v>4265.7240000000002</v>
      </c>
      <c r="Q110" s="18">
        <f t="shared" si="8"/>
        <v>17062.896000000001</v>
      </c>
      <c r="R110" s="14" t="str">
        <f t="shared" si="9"/>
        <v>High Sell</v>
      </c>
      <c r="S110" s="8" t="str">
        <f t="shared" si="10"/>
        <v>High</v>
      </c>
      <c r="T110" s="8" t="str">
        <f t="shared" si="11"/>
        <v>High</v>
      </c>
      <c r="U110" s="8"/>
    </row>
    <row r="111" spans="1:21" ht="14.25" customHeight="1">
      <c r="A111" s="1">
        <v>10118</v>
      </c>
      <c r="B111" s="1">
        <v>1748</v>
      </c>
      <c r="C111" s="2">
        <v>45128</v>
      </c>
      <c r="D111" s="2">
        <v>45129</v>
      </c>
      <c r="E111" s="1" t="s">
        <v>21</v>
      </c>
      <c r="F111" s="1" t="s">
        <v>15</v>
      </c>
      <c r="G111" s="1" t="s">
        <v>16</v>
      </c>
      <c r="H111" s="1" t="s">
        <v>43</v>
      </c>
      <c r="I111" s="1" t="s">
        <v>30</v>
      </c>
      <c r="J111" s="1" t="s">
        <v>47</v>
      </c>
      <c r="K111" s="1" t="s">
        <v>32</v>
      </c>
      <c r="L111" s="1">
        <v>2</v>
      </c>
      <c r="M111" s="1">
        <v>2303.71</v>
      </c>
      <c r="N111" s="7">
        <v>20</v>
      </c>
      <c r="O111" s="16">
        <f t="shared" si="6"/>
        <v>4607.42</v>
      </c>
      <c r="P111" s="18">
        <f t="shared" si="7"/>
        <v>921.48400000000004</v>
      </c>
      <c r="Q111" s="18">
        <f t="shared" si="8"/>
        <v>3685.9360000000001</v>
      </c>
      <c r="R111" s="14" t="str">
        <f t="shared" si="9"/>
        <v>Low Sell</v>
      </c>
      <c r="S111" s="8" t="str">
        <f t="shared" si="10"/>
        <v>Low</v>
      </c>
      <c r="T111" s="8" t="str">
        <f t="shared" si="11"/>
        <v>Low</v>
      </c>
      <c r="U111" s="8"/>
    </row>
    <row r="112" spans="1:21" ht="14.25" customHeight="1">
      <c r="A112" s="1">
        <v>10119</v>
      </c>
      <c r="B112" s="1">
        <v>1337</v>
      </c>
      <c r="C112" s="2">
        <v>44964</v>
      </c>
      <c r="D112" s="2">
        <v>44970</v>
      </c>
      <c r="E112" s="1" t="s">
        <v>15</v>
      </c>
      <c r="F112" s="1" t="s">
        <v>37</v>
      </c>
      <c r="G112" s="1" t="s">
        <v>16</v>
      </c>
      <c r="H112" s="1" t="s">
        <v>34</v>
      </c>
      <c r="I112" s="1" t="s">
        <v>30</v>
      </c>
      <c r="J112" s="1" t="s">
        <v>31</v>
      </c>
      <c r="K112" s="1" t="s">
        <v>32</v>
      </c>
      <c r="L112" s="1">
        <v>8</v>
      </c>
      <c r="M112" s="1">
        <v>3339.68</v>
      </c>
      <c r="N112" s="7">
        <v>0</v>
      </c>
      <c r="O112" s="16">
        <f t="shared" si="6"/>
        <v>26717.439999999999</v>
      </c>
      <c r="P112" s="18">
        <f t="shared" si="7"/>
        <v>0</v>
      </c>
      <c r="Q112" s="18">
        <f t="shared" si="8"/>
        <v>26717.439999999999</v>
      </c>
      <c r="R112" s="14" t="str">
        <f t="shared" si="9"/>
        <v>High Sell</v>
      </c>
      <c r="S112" s="8" t="str">
        <f t="shared" si="10"/>
        <v>High</v>
      </c>
      <c r="T112" s="8" t="str">
        <f t="shared" si="11"/>
        <v>High</v>
      </c>
      <c r="U112" s="8"/>
    </row>
    <row r="113" spans="1:21" ht="14.25" customHeight="1">
      <c r="A113" s="1">
        <v>10120</v>
      </c>
      <c r="B113" s="1">
        <v>1878</v>
      </c>
      <c r="C113" s="2">
        <v>45186</v>
      </c>
      <c r="D113" s="2">
        <v>45187</v>
      </c>
      <c r="E113" s="1" t="s">
        <v>39</v>
      </c>
      <c r="F113" s="1" t="s">
        <v>22</v>
      </c>
      <c r="G113" s="1" t="s">
        <v>23</v>
      </c>
      <c r="H113" s="1" t="s">
        <v>41</v>
      </c>
      <c r="I113" s="1" t="s">
        <v>51</v>
      </c>
      <c r="J113" s="1" t="s">
        <v>52</v>
      </c>
      <c r="K113" s="1" t="s">
        <v>46</v>
      </c>
      <c r="L113" s="1">
        <v>7</v>
      </c>
      <c r="M113" s="1">
        <v>2894.46</v>
      </c>
      <c r="N113" s="7">
        <v>5</v>
      </c>
      <c r="O113" s="16">
        <f t="shared" si="6"/>
        <v>20261.22</v>
      </c>
      <c r="P113" s="18">
        <f t="shared" si="7"/>
        <v>1013.0610000000001</v>
      </c>
      <c r="Q113" s="18">
        <f t="shared" si="8"/>
        <v>19248.159</v>
      </c>
      <c r="R113" s="14" t="str">
        <f t="shared" si="9"/>
        <v>High Sell</v>
      </c>
      <c r="S113" s="8" t="str">
        <f t="shared" si="10"/>
        <v>High</v>
      </c>
      <c r="T113" s="8" t="str">
        <f t="shared" si="11"/>
        <v>High</v>
      </c>
      <c r="U113" s="8"/>
    </row>
    <row r="114" spans="1:21" ht="14.25" customHeight="1">
      <c r="A114" s="1">
        <v>10121</v>
      </c>
      <c r="B114" s="1">
        <v>1052</v>
      </c>
      <c r="C114" s="2">
        <v>45114</v>
      </c>
      <c r="D114" s="2">
        <v>45115</v>
      </c>
      <c r="E114" s="1" t="s">
        <v>15</v>
      </c>
      <c r="F114" s="1" t="s">
        <v>15</v>
      </c>
      <c r="G114" s="1" t="s">
        <v>23</v>
      </c>
      <c r="H114" s="1" t="s">
        <v>34</v>
      </c>
      <c r="I114" s="1" t="s">
        <v>56</v>
      </c>
      <c r="J114" s="1" t="s">
        <v>61</v>
      </c>
      <c r="K114" s="1" t="s">
        <v>32</v>
      </c>
      <c r="L114" s="1">
        <v>5</v>
      </c>
      <c r="M114" s="1">
        <v>2832.28</v>
      </c>
      <c r="N114" s="7">
        <v>0</v>
      </c>
      <c r="O114" s="16">
        <f t="shared" si="6"/>
        <v>14161.400000000001</v>
      </c>
      <c r="P114" s="18">
        <f t="shared" si="7"/>
        <v>0</v>
      </c>
      <c r="Q114" s="18">
        <f t="shared" si="8"/>
        <v>14161.400000000001</v>
      </c>
      <c r="R114" s="14" t="str">
        <f t="shared" si="9"/>
        <v>High Sell</v>
      </c>
      <c r="S114" s="8" t="str">
        <f t="shared" si="10"/>
        <v>Medium</v>
      </c>
      <c r="T114" s="8" t="str">
        <f t="shared" si="11"/>
        <v>Medium</v>
      </c>
      <c r="U114" s="8"/>
    </row>
    <row r="115" spans="1:21" ht="14.25" customHeight="1">
      <c r="A115" s="1">
        <v>10122</v>
      </c>
      <c r="B115" s="1">
        <v>1791</v>
      </c>
      <c r="C115" s="2">
        <v>44983</v>
      </c>
      <c r="D115" s="2">
        <v>44991</v>
      </c>
      <c r="E115" s="1" t="s">
        <v>15</v>
      </c>
      <c r="F115" s="1" t="s">
        <v>37</v>
      </c>
      <c r="G115" s="1" t="s">
        <v>23</v>
      </c>
      <c r="H115" s="1" t="s">
        <v>41</v>
      </c>
      <c r="I115" s="1" t="s">
        <v>48</v>
      </c>
      <c r="J115" s="1" t="s">
        <v>62</v>
      </c>
      <c r="K115" s="1" t="s">
        <v>44</v>
      </c>
      <c r="L115" s="1">
        <v>5</v>
      </c>
      <c r="M115" s="1">
        <v>1398.73</v>
      </c>
      <c r="N115" s="7">
        <v>0</v>
      </c>
      <c r="O115" s="16">
        <f t="shared" si="6"/>
        <v>6993.65</v>
      </c>
      <c r="P115" s="18">
        <f t="shared" si="7"/>
        <v>0</v>
      </c>
      <c r="Q115" s="18">
        <f t="shared" si="8"/>
        <v>6993.65</v>
      </c>
      <c r="R115" s="14" t="str">
        <f t="shared" si="9"/>
        <v>High Sell</v>
      </c>
      <c r="S115" s="8" t="str">
        <f t="shared" si="10"/>
        <v>Medium</v>
      </c>
      <c r="T115" s="8" t="str">
        <f t="shared" si="11"/>
        <v>Medium</v>
      </c>
      <c r="U115" s="8"/>
    </row>
    <row r="116" spans="1:21" ht="14.25" customHeight="1">
      <c r="A116" s="1">
        <v>10123</v>
      </c>
      <c r="B116" s="1">
        <v>1921</v>
      </c>
      <c r="C116" s="2">
        <v>44946</v>
      </c>
      <c r="D116" s="2">
        <v>44950</v>
      </c>
      <c r="E116" s="1" t="s">
        <v>21</v>
      </c>
      <c r="F116" s="1" t="s">
        <v>15</v>
      </c>
      <c r="G116" s="1" t="s">
        <v>23</v>
      </c>
      <c r="H116" s="1" t="s">
        <v>43</v>
      </c>
      <c r="I116" s="1" t="s">
        <v>25</v>
      </c>
      <c r="J116" s="1" t="s">
        <v>67</v>
      </c>
      <c r="K116" s="1" t="s">
        <v>46</v>
      </c>
      <c r="L116" s="1">
        <v>7</v>
      </c>
      <c r="M116" s="1">
        <v>1050.5</v>
      </c>
      <c r="N116" s="7">
        <v>20</v>
      </c>
      <c r="O116" s="16">
        <f t="shared" si="6"/>
        <v>7353.5</v>
      </c>
      <c r="P116" s="18">
        <f t="shared" si="7"/>
        <v>1470.7</v>
      </c>
      <c r="Q116" s="18">
        <f t="shared" si="8"/>
        <v>5882.8</v>
      </c>
      <c r="R116" s="14" t="str">
        <f t="shared" si="9"/>
        <v>High Sell</v>
      </c>
      <c r="S116" s="8" t="str">
        <f t="shared" si="10"/>
        <v>High</v>
      </c>
      <c r="T116" s="8" t="str">
        <f t="shared" si="11"/>
        <v>High</v>
      </c>
      <c r="U116" s="8"/>
    </row>
    <row r="117" spans="1:21" ht="14.25" customHeight="1">
      <c r="A117" s="1">
        <v>10124</v>
      </c>
      <c r="B117" s="1">
        <v>1216</v>
      </c>
      <c r="C117" s="2">
        <v>45199</v>
      </c>
      <c r="D117" s="2">
        <v>45200</v>
      </c>
      <c r="E117" s="1" t="s">
        <v>15</v>
      </c>
      <c r="F117" s="1" t="s">
        <v>40</v>
      </c>
      <c r="G117" s="1" t="s">
        <v>23</v>
      </c>
      <c r="H117" s="1" t="s">
        <v>17</v>
      </c>
      <c r="I117" s="1" t="s">
        <v>25</v>
      </c>
      <c r="J117" s="1" t="s">
        <v>60</v>
      </c>
      <c r="K117" s="1" t="s">
        <v>32</v>
      </c>
      <c r="L117" s="1">
        <v>9</v>
      </c>
      <c r="M117" s="1">
        <v>961.91</v>
      </c>
      <c r="N117" s="7">
        <v>15</v>
      </c>
      <c r="O117" s="16">
        <f t="shared" si="6"/>
        <v>8657.19</v>
      </c>
      <c r="P117" s="18">
        <f t="shared" si="7"/>
        <v>1298.5785000000001</v>
      </c>
      <c r="Q117" s="18">
        <f t="shared" si="8"/>
        <v>7358.6115000000009</v>
      </c>
      <c r="R117" s="14" t="str">
        <f t="shared" si="9"/>
        <v>High Sell</v>
      </c>
      <c r="S117" s="8" t="str">
        <f t="shared" si="10"/>
        <v>High</v>
      </c>
      <c r="T117" s="8" t="str">
        <f t="shared" si="11"/>
        <v>High</v>
      </c>
      <c r="U117" s="8"/>
    </row>
    <row r="118" spans="1:21" ht="14.25" customHeight="1">
      <c r="A118" s="1">
        <v>10125</v>
      </c>
      <c r="B118" s="1">
        <v>1763</v>
      </c>
      <c r="C118" s="2">
        <v>45045</v>
      </c>
      <c r="D118" s="2">
        <v>45052</v>
      </c>
      <c r="E118" s="1" t="s">
        <v>15</v>
      </c>
      <c r="F118" s="1" t="s">
        <v>22</v>
      </c>
      <c r="G118" s="1" t="s">
        <v>29</v>
      </c>
      <c r="H118" s="1" t="s">
        <v>43</v>
      </c>
      <c r="I118" s="1" t="s">
        <v>51</v>
      </c>
      <c r="J118" s="1" t="s">
        <v>63</v>
      </c>
      <c r="K118" s="1" t="s">
        <v>46</v>
      </c>
      <c r="L118" s="1">
        <v>9</v>
      </c>
      <c r="M118" s="1">
        <v>3450.19</v>
      </c>
      <c r="N118" s="7">
        <v>0</v>
      </c>
      <c r="O118" s="16">
        <f t="shared" si="6"/>
        <v>31051.71</v>
      </c>
      <c r="P118" s="18">
        <f t="shared" si="7"/>
        <v>0</v>
      </c>
      <c r="Q118" s="18">
        <f t="shared" si="8"/>
        <v>31051.71</v>
      </c>
      <c r="R118" s="14" t="str">
        <f t="shared" si="9"/>
        <v>High Sell</v>
      </c>
      <c r="S118" s="8" t="str">
        <f t="shared" si="10"/>
        <v>High</v>
      </c>
      <c r="T118" s="8" t="str">
        <f t="shared" si="11"/>
        <v>High</v>
      </c>
      <c r="U118" s="8"/>
    </row>
    <row r="119" spans="1:21" ht="14.25" customHeight="1">
      <c r="A119" s="1">
        <v>10126</v>
      </c>
      <c r="B119" s="1">
        <v>1187</v>
      </c>
      <c r="C119" s="2">
        <v>44997</v>
      </c>
      <c r="D119" s="2">
        <v>45002</v>
      </c>
      <c r="E119" s="1" t="s">
        <v>21</v>
      </c>
      <c r="F119" s="1" t="s">
        <v>53</v>
      </c>
      <c r="G119" s="1" t="s">
        <v>23</v>
      </c>
      <c r="H119" s="1" t="s">
        <v>17</v>
      </c>
      <c r="I119" s="1" t="s">
        <v>30</v>
      </c>
      <c r="J119" s="1" t="s">
        <v>47</v>
      </c>
      <c r="K119" s="1" t="s">
        <v>27</v>
      </c>
      <c r="L119" s="1">
        <v>9</v>
      </c>
      <c r="M119" s="1">
        <v>3308.64</v>
      </c>
      <c r="N119" s="7">
        <v>5</v>
      </c>
      <c r="O119" s="16">
        <f t="shared" si="6"/>
        <v>29777.759999999998</v>
      </c>
      <c r="P119" s="18">
        <f t="shared" si="7"/>
        <v>1488.8879999999999</v>
      </c>
      <c r="Q119" s="18">
        <f t="shared" si="8"/>
        <v>28288.871999999999</v>
      </c>
      <c r="R119" s="14" t="str">
        <f t="shared" si="9"/>
        <v>High Sell</v>
      </c>
      <c r="S119" s="8" t="str">
        <f t="shared" si="10"/>
        <v>High</v>
      </c>
      <c r="T119" s="8" t="str">
        <f t="shared" si="11"/>
        <v>High</v>
      </c>
      <c r="U119" s="8"/>
    </row>
    <row r="120" spans="1:21" ht="14.25" customHeight="1">
      <c r="A120" s="1">
        <v>10127</v>
      </c>
      <c r="B120" s="1">
        <v>1379</v>
      </c>
      <c r="C120" s="2">
        <v>44930</v>
      </c>
      <c r="D120" s="2">
        <v>44935</v>
      </c>
      <c r="E120" s="1" t="s">
        <v>36</v>
      </c>
      <c r="F120" s="1" t="s">
        <v>53</v>
      </c>
      <c r="G120" s="1" t="s">
        <v>23</v>
      </c>
      <c r="H120" s="1" t="s">
        <v>17</v>
      </c>
      <c r="I120" s="1" t="s">
        <v>30</v>
      </c>
      <c r="J120" s="1" t="s">
        <v>38</v>
      </c>
      <c r="K120" s="1" t="s">
        <v>20</v>
      </c>
      <c r="L120" s="1">
        <v>6</v>
      </c>
      <c r="M120" s="1">
        <v>1846.21</v>
      </c>
      <c r="N120" s="7">
        <v>10</v>
      </c>
      <c r="O120" s="16">
        <f t="shared" si="6"/>
        <v>11077.26</v>
      </c>
      <c r="P120" s="18">
        <f t="shared" si="7"/>
        <v>1107.7260000000001</v>
      </c>
      <c r="Q120" s="18">
        <f t="shared" si="8"/>
        <v>9969.5339999999997</v>
      </c>
      <c r="R120" s="14" t="str">
        <f t="shared" si="9"/>
        <v>High Sell</v>
      </c>
      <c r="S120" s="8" t="str">
        <f t="shared" si="10"/>
        <v>High</v>
      </c>
      <c r="T120" s="8" t="str">
        <f t="shared" si="11"/>
        <v>High</v>
      </c>
      <c r="U120" s="8"/>
    </row>
    <row r="121" spans="1:21" ht="14.25" customHeight="1">
      <c r="A121" s="1">
        <v>10128</v>
      </c>
      <c r="B121" s="1">
        <v>1492</v>
      </c>
      <c r="C121" s="2">
        <v>45147</v>
      </c>
      <c r="D121" s="2">
        <v>45148</v>
      </c>
      <c r="E121" s="1" t="s">
        <v>45</v>
      </c>
      <c r="F121" s="1" t="s">
        <v>37</v>
      </c>
      <c r="G121" s="1" t="s">
        <v>29</v>
      </c>
      <c r="H121" s="1" t="s">
        <v>34</v>
      </c>
      <c r="I121" s="1" t="s">
        <v>25</v>
      </c>
      <c r="J121" s="1" t="s">
        <v>60</v>
      </c>
      <c r="K121" s="1" t="s">
        <v>46</v>
      </c>
      <c r="L121" s="1">
        <v>6</v>
      </c>
      <c r="M121" s="1">
        <v>659.76</v>
      </c>
      <c r="N121" s="7">
        <v>0</v>
      </c>
      <c r="O121" s="16">
        <f t="shared" si="6"/>
        <v>3958.56</v>
      </c>
      <c r="P121" s="18">
        <f t="shared" si="7"/>
        <v>0</v>
      </c>
      <c r="Q121" s="18">
        <f t="shared" si="8"/>
        <v>3958.56</v>
      </c>
      <c r="R121" s="14" t="str">
        <f t="shared" si="9"/>
        <v>High Sell</v>
      </c>
      <c r="S121" s="8" t="str">
        <f t="shared" si="10"/>
        <v>High</v>
      </c>
      <c r="T121" s="8" t="str">
        <f t="shared" si="11"/>
        <v>High</v>
      </c>
      <c r="U121" s="8"/>
    </row>
    <row r="122" spans="1:21" ht="14.25" customHeight="1">
      <c r="A122" s="1">
        <v>10129</v>
      </c>
      <c r="B122" s="1">
        <v>1040</v>
      </c>
      <c r="C122" s="2">
        <v>44940</v>
      </c>
      <c r="D122" s="2">
        <v>44946</v>
      </c>
      <c r="E122" s="1" t="s">
        <v>33</v>
      </c>
      <c r="F122" s="1" t="s">
        <v>28</v>
      </c>
      <c r="G122" s="1" t="s">
        <v>23</v>
      </c>
      <c r="H122" s="1" t="s">
        <v>43</v>
      </c>
      <c r="I122" s="1" t="s">
        <v>51</v>
      </c>
      <c r="J122" s="1" t="s">
        <v>55</v>
      </c>
      <c r="K122" s="1" t="s">
        <v>20</v>
      </c>
      <c r="L122" s="1">
        <v>3</v>
      </c>
      <c r="M122" s="1">
        <v>1621.67</v>
      </c>
      <c r="N122" s="7">
        <v>0</v>
      </c>
      <c r="O122" s="16">
        <f t="shared" si="6"/>
        <v>4865.01</v>
      </c>
      <c r="P122" s="18">
        <f t="shared" si="7"/>
        <v>0</v>
      </c>
      <c r="Q122" s="18">
        <f t="shared" si="8"/>
        <v>4865.01</v>
      </c>
      <c r="R122" s="14" t="str">
        <f t="shared" si="9"/>
        <v>Low Sell</v>
      </c>
      <c r="S122" s="8" t="str">
        <f t="shared" si="10"/>
        <v>Low</v>
      </c>
      <c r="T122" s="8" t="str">
        <f t="shared" si="11"/>
        <v>Low</v>
      </c>
      <c r="U122" s="8"/>
    </row>
    <row r="123" spans="1:21" ht="14.25" customHeight="1">
      <c r="A123" s="1">
        <v>10130</v>
      </c>
      <c r="B123" s="1">
        <v>1156</v>
      </c>
      <c r="C123" s="2">
        <v>44929</v>
      </c>
      <c r="D123" s="2">
        <v>44938</v>
      </c>
      <c r="E123" s="1" t="s">
        <v>14</v>
      </c>
      <c r="F123" s="1" t="s">
        <v>40</v>
      </c>
      <c r="G123" s="1" t="s">
        <v>16</v>
      </c>
      <c r="H123" s="1" t="s">
        <v>41</v>
      </c>
      <c r="I123" s="1" t="s">
        <v>56</v>
      </c>
      <c r="J123" s="1" t="s">
        <v>61</v>
      </c>
      <c r="K123" s="1" t="s">
        <v>32</v>
      </c>
      <c r="L123" s="1">
        <v>1</v>
      </c>
      <c r="M123" s="1">
        <v>2534.4699999999998</v>
      </c>
      <c r="N123" s="7">
        <v>5</v>
      </c>
      <c r="O123" s="16">
        <f t="shared" si="6"/>
        <v>2534.4699999999998</v>
      </c>
      <c r="P123" s="18">
        <f t="shared" si="7"/>
        <v>126.7235</v>
      </c>
      <c r="Q123" s="18">
        <f t="shared" si="8"/>
        <v>2407.7464999999997</v>
      </c>
      <c r="R123" s="14" t="str">
        <f t="shared" si="9"/>
        <v>Low Sell</v>
      </c>
      <c r="S123" s="8" t="str">
        <f t="shared" si="10"/>
        <v>Low</v>
      </c>
      <c r="T123" s="8" t="str">
        <f t="shared" si="11"/>
        <v>Low</v>
      </c>
      <c r="U123" s="8"/>
    </row>
    <row r="124" spans="1:21" ht="14.25" customHeight="1">
      <c r="A124" s="1">
        <v>10131</v>
      </c>
      <c r="B124" s="1">
        <v>1014</v>
      </c>
      <c r="C124" s="2">
        <v>45142</v>
      </c>
      <c r="D124" s="2">
        <v>45151</v>
      </c>
      <c r="E124" s="1" t="s">
        <v>33</v>
      </c>
      <c r="F124" s="1" t="s">
        <v>37</v>
      </c>
      <c r="G124" s="1" t="s">
        <v>23</v>
      </c>
      <c r="H124" s="1" t="s">
        <v>43</v>
      </c>
      <c r="I124" s="1" t="s">
        <v>30</v>
      </c>
      <c r="J124" s="1" t="s">
        <v>31</v>
      </c>
      <c r="K124" s="1" t="s">
        <v>20</v>
      </c>
      <c r="L124" s="1">
        <v>7</v>
      </c>
      <c r="M124" s="1">
        <v>1899.45</v>
      </c>
      <c r="N124" s="7">
        <v>15</v>
      </c>
      <c r="O124" s="16">
        <f t="shared" si="6"/>
        <v>13296.15</v>
      </c>
      <c r="P124" s="18">
        <f t="shared" si="7"/>
        <v>1994.4224999999999</v>
      </c>
      <c r="Q124" s="18">
        <f t="shared" si="8"/>
        <v>11301.727499999999</v>
      </c>
      <c r="R124" s="14" t="str">
        <f t="shared" si="9"/>
        <v>High Sell</v>
      </c>
      <c r="S124" s="8" t="str">
        <f t="shared" si="10"/>
        <v>High</v>
      </c>
      <c r="T124" s="8" t="str">
        <f t="shared" si="11"/>
        <v>High</v>
      </c>
      <c r="U124" s="8"/>
    </row>
    <row r="125" spans="1:21" ht="14.25" customHeight="1">
      <c r="A125" s="1">
        <v>10132</v>
      </c>
      <c r="B125" s="1">
        <v>1812</v>
      </c>
      <c r="C125" s="2">
        <v>45155</v>
      </c>
      <c r="D125" s="2">
        <v>45163</v>
      </c>
      <c r="E125" s="1" t="s">
        <v>33</v>
      </c>
      <c r="F125" s="1" t="s">
        <v>28</v>
      </c>
      <c r="G125" s="1" t="s">
        <v>23</v>
      </c>
      <c r="H125" s="1" t="s">
        <v>34</v>
      </c>
      <c r="I125" s="1" t="s">
        <v>56</v>
      </c>
      <c r="J125" s="1" t="s">
        <v>57</v>
      </c>
      <c r="K125" s="1" t="s">
        <v>46</v>
      </c>
      <c r="L125" s="1">
        <v>4</v>
      </c>
      <c r="M125" s="1">
        <v>3153.73</v>
      </c>
      <c r="N125" s="7">
        <v>0</v>
      </c>
      <c r="O125" s="16">
        <f t="shared" si="6"/>
        <v>12614.92</v>
      </c>
      <c r="P125" s="18">
        <f t="shared" si="7"/>
        <v>0</v>
      </c>
      <c r="Q125" s="18">
        <f t="shared" si="8"/>
        <v>12614.92</v>
      </c>
      <c r="R125" s="14" t="str">
        <f t="shared" si="9"/>
        <v>Low Sell</v>
      </c>
      <c r="S125" s="8" t="str">
        <f t="shared" si="10"/>
        <v>Low</v>
      </c>
      <c r="T125" s="8" t="str">
        <f t="shared" si="11"/>
        <v>Low</v>
      </c>
      <c r="U125" s="8"/>
    </row>
    <row r="126" spans="1:21" ht="14.25" customHeight="1">
      <c r="A126" s="1">
        <v>10133</v>
      </c>
      <c r="B126" s="1">
        <v>1064</v>
      </c>
      <c r="C126" s="2">
        <v>45262</v>
      </c>
      <c r="D126" s="2">
        <v>45267</v>
      </c>
      <c r="E126" s="1" t="s">
        <v>39</v>
      </c>
      <c r="F126" s="1" t="s">
        <v>15</v>
      </c>
      <c r="G126" s="1" t="s">
        <v>16</v>
      </c>
      <c r="H126" s="1" t="s">
        <v>17</v>
      </c>
      <c r="I126" s="1" t="s">
        <v>30</v>
      </c>
      <c r="J126" s="1" t="s">
        <v>47</v>
      </c>
      <c r="K126" s="1" t="s">
        <v>27</v>
      </c>
      <c r="L126" s="1">
        <v>1</v>
      </c>
      <c r="M126" s="1">
        <v>3990.85</v>
      </c>
      <c r="N126" s="7">
        <v>0</v>
      </c>
      <c r="O126" s="16">
        <f t="shared" si="6"/>
        <v>3990.85</v>
      </c>
      <c r="P126" s="18">
        <f t="shared" si="7"/>
        <v>0</v>
      </c>
      <c r="Q126" s="18">
        <f t="shared" si="8"/>
        <v>3990.85</v>
      </c>
      <c r="R126" s="14" t="str">
        <f t="shared" si="9"/>
        <v>Low Sell</v>
      </c>
      <c r="S126" s="8" t="str">
        <f t="shared" si="10"/>
        <v>Low</v>
      </c>
      <c r="T126" s="8" t="str">
        <f t="shared" si="11"/>
        <v>Low</v>
      </c>
      <c r="U126" s="8"/>
    </row>
    <row r="127" spans="1:21" ht="14.25" customHeight="1">
      <c r="A127" s="1">
        <v>10135</v>
      </c>
      <c r="B127" s="1">
        <v>1838</v>
      </c>
      <c r="C127" s="2">
        <v>44981</v>
      </c>
      <c r="D127" s="2">
        <v>44990</v>
      </c>
      <c r="E127" s="1" t="s">
        <v>39</v>
      </c>
      <c r="F127" s="1" t="s">
        <v>15</v>
      </c>
      <c r="G127" s="1" t="s">
        <v>16</v>
      </c>
      <c r="H127" s="1" t="s">
        <v>24</v>
      </c>
      <c r="I127" s="1" t="s">
        <v>18</v>
      </c>
      <c r="J127" s="1" t="s">
        <v>42</v>
      </c>
      <c r="K127" s="1" t="s">
        <v>46</v>
      </c>
      <c r="L127" s="1">
        <v>6</v>
      </c>
      <c r="M127" s="1">
        <v>1919.66</v>
      </c>
      <c r="N127" s="7">
        <v>5</v>
      </c>
      <c r="O127" s="16">
        <f t="shared" si="6"/>
        <v>11517.960000000001</v>
      </c>
      <c r="P127" s="18">
        <f t="shared" si="7"/>
        <v>575.89800000000002</v>
      </c>
      <c r="Q127" s="18">
        <f t="shared" si="8"/>
        <v>10942.062000000002</v>
      </c>
      <c r="R127" s="14" t="str">
        <f t="shared" si="9"/>
        <v>High Sell</v>
      </c>
      <c r="S127" s="8" t="str">
        <f t="shared" si="10"/>
        <v>High</v>
      </c>
      <c r="T127" s="8" t="str">
        <f t="shared" si="11"/>
        <v>High</v>
      </c>
      <c r="U127" s="8"/>
    </row>
    <row r="128" spans="1:21" ht="14.25" customHeight="1">
      <c r="A128" s="1">
        <v>10136</v>
      </c>
      <c r="B128" s="1">
        <v>1520</v>
      </c>
      <c r="C128" s="2">
        <v>45180</v>
      </c>
      <c r="D128" s="2">
        <v>45181</v>
      </c>
      <c r="E128" s="1" t="s">
        <v>45</v>
      </c>
      <c r="F128" s="1" t="s">
        <v>22</v>
      </c>
      <c r="G128" s="1" t="s">
        <v>16</v>
      </c>
      <c r="H128" s="1" t="s">
        <v>24</v>
      </c>
      <c r="I128" s="1" t="s">
        <v>30</v>
      </c>
      <c r="J128" s="1" t="s">
        <v>38</v>
      </c>
      <c r="K128" s="1" t="s">
        <v>32</v>
      </c>
      <c r="L128" s="1">
        <v>6</v>
      </c>
      <c r="M128" s="1">
        <v>1809.29</v>
      </c>
      <c r="N128" s="7">
        <v>0</v>
      </c>
      <c r="O128" s="16">
        <f t="shared" si="6"/>
        <v>10855.74</v>
      </c>
      <c r="P128" s="18">
        <f t="shared" si="7"/>
        <v>0</v>
      </c>
      <c r="Q128" s="18">
        <f t="shared" si="8"/>
        <v>10855.74</v>
      </c>
      <c r="R128" s="14" t="str">
        <f t="shared" si="9"/>
        <v>High Sell</v>
      </c>
      <c r="S128" s="8" t="str">
        <f t="shared" si="10"/>
        <v>High</v>
      </c>
      <c r="T128" s="8" t="str">
        <f t="shared" si="11"/>
        <v>High</v>
      </c>
      <c r="U128" s="8"/>
    </row>
    <row r="129" spans="1:21" ht="14.25" customHeight="1">
      <c r="A129" s="1">
        <v>10138</v>
      </c>
      <c r="B129" s="1">
        <v>1128</v>
      </c>
      <c r="C129" s="2">
        <v>45088</v>
      </c>
      <c r="D129" s="2">
        <v>45093</v>
      </c>
      <c r="E129" s="1" t="s">
        <v>21</v>
      </c>
      <c r="F129" s="1" t="s">
        <v>28</v>
      </c>
      <c r="G129" s="1" t="s">
        <v>16</v>
      </c>
      <c r="H129" s="1" t="s">
        <v>34</v>
      </c>
      <c r="I129" s="1" t="s">
        <v>51</v>
      </c>
      <c r="J129" s="1" t="s">
        <v>52</v>
      </c>
      <c r="K129" s="1" t="s">
        <v>20</v>
      </c>
      <c r="L129" s="1">
        <v>1</v>
      </c>
      <c r="M129" s="1">
        <v>912.67</v>
      </c>
      <c r="N129" s="7">
        <v>0</v>
      </c>
      <c r="O129" s="16">
        <f t="shared" si="6"/>
        <v>912.67</v>
      </c>
      <c r="P129" s="18">
        <f t="shared" si="7"/>
        <v>0</v>
      </c>
      <c r="Q129" s="18">
        <f t="shared" si="8"/>
        <v>912.67</v>
      </c>
      <c r="R129" s="14" t="str">
        <f t="shared" si="9"/>
        <v>Low Sell</v>
      </c>
      <c r="S129" s="8" t="str">
        <f t="shared" si="10"/>
        <v>Low</v>
      </c>
      <c r="T129" s="8" t="str">
        <f t="shared" si="11"/>
        <v>Low</v>
      </c>
      <c r="U129" s="8"/>
    </row>
    <row r="130" spans="1:21" ht="14.25" customHeight="1">
      <c r="A130" s="1">
        <v>10139</v>
      </c>
      <c r="B130" s="1">
        <v>1647</v>
      </c>
      <c r="C130" s="2">
        <v>45084</v>
      </c>
      <c r="D130" s="2">
        <v>45087</v>
      </c>
      <c r="E130" s="1" t="s">
        <v>45</v>
      </c>
      <c r="F130" s="1" t="s">
        <v>22</v>
      </c>
      <c r="G130" s="1" t="s">
        <v>16</v>
      </c>
      <c r="H130" s="1" t="s">
        <v>41</v>
      </c>
      <c r="I130" s="1" t="s">
        <v>51</v>
      </c>
      <c r="J130" s="1" t="s">
        <v>52</v>
      </c>
      <c r="K130" s="1" t="s">
        <v>44</v>
      </c>
      <c r="L130" s="1">
        <v>2</v>
      </c>
      <c r="M130" s="1">
        <v>402.91</v>
      </c>
      <c r="N130" s="7">
        <v>10</v>
      </c>
      <c r="O130" s="16">
        <f t="shared" si="6"/>
        <v>805.82</v>
      </c>
      <c r="P130" s="18">
        <f t="shared" si="7"/>
        <v>80.582000000000008</v>
      </c>
      <c r="Q130" s="18">
        <f t="shared" si="8"/>
        <v>725.23800000000006</v>
      </c>
      <c r="R130" s="14" t="str">
        <f t="shared" si="9"/>
        <v>Low Sell</v>
      </c>
      <c r="S130" s="8" t="str">
        <f t="shared" si="10"/>
        <v>Low</v>
      </c>
      <c r="T130" s="8" t="str">
        <f t="shared" si="11"/>
        <v>Low</v>
      </c>
      <c r="U130" s="8"/>
    </row>
    <row r="131" spans="1:21" ht="14.25" customHeight="1">
      <c r="A131" s="1">
        <v>10140</v>
      </c>
      <c r="B131" s="1">
        <v>1471</v>
      </c>
      <c r="C131" s="2">
        <v>45008</v>
      </c>
      <c r="D131" s="2">
        <v>45015</v>
      </c>
      <c r="E131" s="1" t="s">
        <v>15</v>
      </c>
      <c r="F131" s="1" t="s">
        <v>53</v>
      </c>
      <c r="G131" s="1" t="s">
        <v>29</v>
      </c>
      <c r="H131" s="1" t="s">
        <v>41</v>
      </c>
      <c r="I131" s="1" t="s">
        <v>56</v>
      </c>
      <c r="J131" s="1" t="s">
        <v>58</v>
      </c>
      <c r="K131" s="1" t="s">
        <v>46</v>
      </c>
      <c r="L131" s="1">
        <v>4</v>
      </c>
      <c r="M131" s="1">
        <v>3565.41</v>
      </c>
      <c r="N131" s="7">
        <v>20</v>
      </c>
      <c r="O131" s="16">
        <f t="shared" ref="O131:O194" si="12">L131*M131</f>
        <v>14261.64</v>
      </c>
      <c r="P131" s="18">
        <f t="shared" ref="P131:P194" si="13">O131*N131%</f>
        <v>2852.328</v>
      </c>
      <c r="Q131" s="18">
        <f t="shared" ref="Q131:Q194" si="14">O131-P131</f>
        <v>11409.312</v>
      </c>
      <c r="R131" s="14" t="str">
        <f t="shared" ref="R131:R194" si="15">IF(L131&gt;=5, "High Sell", "Low Sell")</f>
        <v>Low Sell</v>
      </c>
      <c r="S131" s="8" t="str">
        <f t="shared" ref="S131:S194" si="16">_xlfn.IFS(L131&lt;5, "Low", L131=5, "Medium", L131&gt;5, "High")</f>
        <v>Low</v>
      </c>
      <c r="T131" s="8" t="str">
        <f t="shared" ref="T131:T194" si="17">IF(L131&gt;5,"High",(IF(L131=5,"Medium","Low")))</f>
        <v>Low</v>
      </c>
      <c r="U131" s="8"/>
    </row>
    <row r="132" spans="1:21" ht="14.25" customHeight="1">
      <c r="A132" s="1">
        <v>10141</v>
      </c>
      <c r="B132" s="1">
        <v>1062</v>
      </c>
      <c r="C132" s="2">
        <v>45085</v>
      </c>
      <c r="D132" s="2">
        <v>45092</v>
      </c>
      <c r="E132" s="1" t="s">
        <v>36</v>
      </c>
      <c r="F132" s="1" t="s">
        <v>28</v>
      </c>
      <c r="G132" s="1" t="s">
        <v>16</v>
      </c>
      <c r="H132" s="1" t="s">
        <v>24</v>
      </c>
      <c r="I132" s="1" t="s">
        <v>30</v>
      </c>
      <c r="J132" s="1" t="s">
        <v>38</v>
      </c>
      <c r="K132" s="1" t="s">
        <v>27</v>
      </c>
      <c r="L132" s="1">
        <v>2</v>
      </c>
      <c r="M132" s="1">
        <v>1766.42</v>
      </c>
      <c r="N132" s="7">
        <v>10</v>
      </c>
      <c r="O132" s="16">
        <f t="shared" si="12"/>
        <v>3532.84</v>
      </c>
      <c r="P132" s="18">
        <f t="shared" si="13"/>
        <v>353.28400000000005</v>
      </c>
      <c r="Q132" s="18">
        <f t="shared" si="14"/>
        <v>3179.556</v>
      </c>
      <c r="R132" s="14" t="str">
        <f t="shared" si="15"/>
        <v>Low Sell</v>
      </c>
      <c r="S132" s="8" t="str">
        <f t="shared" si="16"/>
        <v>Low</v>
      </c>
      <c r="T132" s="8" t="str">
        <f t="shared" si="17"/>
        <v>Low</v>
      </c>
      <c r="U132" s="8"/>
    </row>
    <row r="133" spans="1:21" ht="14.25" customHeight="1">
      <c r="A133" s="1">
        <v>10142</v>
      </c>
      <c r="B133" s="1">
        <v>1138</v>
      </c>
      <c r="C133" s="2">
        <v>45114</v>
      </c>
      <c r="D133" s="2">
        <v>45123</v>
      </c>
      <c r="E133" s="1" t="s">
        <v>15</v>
      </c>
      <c r="F133" s="1" t="s">
        <v>37</v>
      </c>
      <c r="G133" s="1" t="s">
        <v>16</v>
      </c>
      <c r="H133" s="1" t="s">
        <v>41</v>
      </c>
      <c r="I133" s="1" t="s">
        <v>48</v>
      </c>
      <c r="J133" s="1" t="s">
        <v>50</v>
      </c>
      <c r="K133" s="1" t="s">
        <v>32</v>
      </c>
      <c r="L133" s="1">
        <v>1</v>
      </c>
      <c r="M133" s="1">
        <v>2063.0500000000002</v>
      </c>
      <c r="N133" s="7">
        <v>0</v>
      </c>
      <c r="O133" s="16">
        <f t="shared" si="12"/>
        <v>2063.0500000000002</v>
      </c>
      <c r="P133" s="18">
        <f t="shared" si="13"/>
        <v>0</v>
      </c>
      <c r="Q133" s="18">
        <f t="shared" si="14"/>
        <v>2063.0500000000002</v>
      </c>
      <c r="R133" s="14" t="str">
        <f t="shared" si="15"/>
        <v>Low Sell</v>
      </c>
      <c r="S133" s="8" t="str">
        <f t="shared" si="16"/>
        <v>Low</v>
      </c>
      <c r="T133" s="8" t="str">
        <f t="shared" si="17"/>
        <v>Low</v>
      </c>
      <c r="U133" s="8"/>
    </row>
    <row r="134" spans="1:21" ht="14.25" customHeight="1">
      <c r="A134" s="1">
        <v>10143</v>
      </c>
      <c r="B134" s="1">
        <v>1498</v>
      </c>
      <c r="C134" s="2">
        <v>44986</v>
      </c>
      <c r="D134" s="2">
        <v>44993</v>
      </c>
      <c r="E134" s="1" t="s">
        <v>36</v>
      </c>
      <c r="F134" s="1" t="s">
        <v>53</v>
      </c>
      <c r="G134" s="1" t="s">
        <v>29</v>
      </c>
      <c r="H134" s="1" t="s">
        <v>24</v>
      </c>
      <c r="I134" s="1" t="s">
        <v>56</v>
      </c>
      <c r="J134" s="1" t="s">
        <v>57</v>
      </c>
      <c r="K134" s="1" t="s">
        <v>20</v>
      </c>
      <c r="L134" s="1">
        <v>7</v>
      </c>
      <c r="M134" s="1">
        <v>3680.23</v>
      </c>
      <c r="N134" s="7">
        <v>5</v>
      </c>
      <c r="O134" s="16">
        <f t="shared" si="12"/>
        <v>25761.61</v>
      </c>
      <c r="P134" s="18">
        <f t="shared" si="13"/>
        <v>1288.0805</v>
      </c>
      <c r="Q134" s="18">
        <f t="shared" si="14"/>
        <v>24473.529500000001</v>
      </c>
      <c r="R134" s="14" t="str">
        <f t="shared" si="15"/>
        <v>High Sell</v>
      </c>
      <c r="S134" s="8" t="str">
        <f t="shared" si="16"/>
        <v>High</v>
      </c>
      <c r="T134" s="8" t="str">
        <f t="shared" si="17"/>
        <v>High</v>
      </c>
      <c r="U134" s="8"/>
    </row>
    <row r="135" spans="1:21" ht="14.25" customHeight="1">
      <c r="A135" s="1">
        <v>10144</v>
      </c>
      <c r="B135" s="1">
        <v>1592</v>
      </c>
      <c r="C135" s="2">
        <v>45231</v>
      </c>
      <c r="D135" s="2">
        <v>45234</v>
      </c>
      <c r="E135" s="1" t="s">
        <v>39</v>
      </c>
      <c r="F135" s="1" t="s">
        <v>53</v>
      </c>
      <c r="G135" s="1" t="s">
        <v>29</v>
      </c>
      <c r="H135" s="1" t="s">
        <v>17</v>
      </c>
      <c r="I135" s="1" t="s">
        <v>18</v>
      </c>
      <c r="J135" s="1" t="s">
        <v>54</v>
      </c>
      <c r="K135" s="1" t="s">
        <v>32</v>
      </c>
      <c r="L135" s="1">
        <v>8</v>
      </c>
      <c r="M135" s="1">
        <v>3138.72</v>
      </c>
      <c r="N135" s="7">
        <v>20</v>
      </c>
      <c r="O135" s="16">
        <f t="shared" si="12"/>
        <v>25109.759999999998</v>
      </c>
      <c r="P135" s="18">
        <f t="shared" si="13"/>
        <v>5021.9520000000002</v>
      </c>
      <c r="Q135" s="18">
        <f t="shared" si="14"/>
        <v>20087.807999999997</v>
      </c>
      <c r="R135" s="14" t="str">
        <f t="shared" si="15"/>
        <v>High Sell</v>
      </c>
      <c r="S135" s="8" t="str">
        <f t="shared" si="16"/>
        <v>High</v>
      </c>
      <c r="T135" s="8" t="str">
        <f t="shared" si="17"/>
        <v>High</v>
      </c>
      <c r="U135" s="8"/>
    </row>
    <row r="136" spans="1:21" ht="14.25" customHeight="1">
      <c r="A136" s="1">
        <v>10145</v>
      </c>
      <c r="B136" s="1">
        <v>1391</v>
      </c>
      <c r="C136" s="2">
        <v>45245</v>
      </c>
      <c r="D136" s="2">
        <v>45246</v>
      </c>
      <c r="E136" s="1" t="s">
        <v>36</v>
      </c>
      <c r="F136" s="1" t="s">
        <v>37</v>
      </c>
      <c r="G136" s="1" t="s">
        <v>23</v>
      </c>
      <c r="H136" s="1" t="s">
        <v>34</v>
      </c>
      <c r="I136" s="1" t="s">
        <v>56</v>
      </c>
      <c r="J136" s="1" t="s">
        <v>58</v>
      </c>
      <c r="K136" s="1" t="s">
        <v>46</v>
      </c>
      <c r="L136" s="1">
        <v>6</v>
      </c>
      <c r="M136" s="1">
        <v>652.42999999999995</v>
      </c>
      <c r="N136" s="7">
        <v>10</v>
      </c>
      <c r="O136" s="16">
        <f t="shared" si="12"/>
        <v>3914.58</v>
      </c>
      <c r="P136" s="18">
        <f t="shared" si="13"/>
        <v>391.45800000000003</v>
      </c>
      <c r="Q136" s="18">
        <f t="shared" si="14"/>
        <v>3523.1219999999998</v>
      </c>
      <c r="R136" s="14" t="str">
        <f t="shared" si="15"/>
        <v>High Sell</v>
      </c>
      <c r="S136" s="8" t="str">
        <f t="shared" si="16"/>
        <v>High</v>
      </c>
      <c r="T136" s="8" t="str">
        <f t="shared" si="17"/>
        <v>High</v>
      </c>
      <c r="U136" s="8"/>
    </row>
    <row r="137" spans="1:21" ht="14.25" customHeight="1">
      <c r="A137" s="1">
        <v>10146</v>
      </c>
      <c r="B137" s="1">
        <v>1674</v>
      </c>
      <c r="C137" s="2">
        <v>45137</v>
      </c>
      <c r="D137" s="2">
        <v>45145</v>
      </c>
      <c r="E137" s="1" t="s">
        <v>39</v>
      </c>
      <c r="F137" s="1" t="s">
        <v>40</v>
      </c>
      <c r="G137" s="1" t="s">
        <v>29</v>
      </c>
      <c r="H137" s="1" t="s">
        <v>41</v>
      </c>
      <c r="I137" s="1" t="s">
        <v>56</v>
      </c>
      <c r="J137" s="1" t="s">
        <v>61</v>
      </c>
      <c r="K137" s="1" t="s">
        <v>32</v>
      </c>
      <c r="L137" s="1">
        <v>4</v>
      </c>
      <c r="M137" s="1">
        <v>2326.87</v>
      </c>
      <c r="N137" s="7">
        <v>15</v>
      </c>
      <c r="O137" s="16">
        <f t="shared" si="12"/>
        <v>9307.48</v>
      </c>
      <c r="P137" s="18">
        <f t="shared" si="13"/>
        <v>1396.1219999999998</v>
      </c>
      <c r="Q137" s="18">
        <f t="shared" si="14"/>
        <v>7911.3580000000002</v>
      </c>
      <c r="R137" s="14" t="str">
        <f t="shared" si="15"/>
        <v>Low Sell</v>
      </c>
      <c r="S137" s="8" t="str">
        <f t="shared" si="16"/>
        <v>Low</v>
      </c>
      <c r="T137" s="8" t="str">
        <f t="shared" si="17"/>
        <v>Low</v>
      </c>
      <c r="U137" s="8"/>
    </row>
    <row r="138" spans="1:21" ht="14.25" customHeight="1">
      <c r="A138" s="1">
        <v>10147</v>
      </c>
      <c r="B138" s="1">
        <v>1418</v>
      </c>
      <c r="C138" s="2">
        <v>45078</v>
      </c>
      <c r="D138" s="2">
        <v>45081</v>
      </c>
      <c r="E138" s="1" t="s">
        <v>21</v>
      </c>
      <c r="F138" s="1" t="s">
        <v>53</v>
      </c>
      <c r="G138" s="1" t="s">
        <v>23</v>
      </c>
      <c r="H138" s="1" t="s">
        <v>24</v>
      </c>
      <c r="I138" s="1" t="s">
        <v>30</v>
      </c>
      <c r="J138" s="1" t="s">
        <v>47</v>
      </c>
      <c r="K138" s="1" t="s">
        <v>20</v>
      </c>
      <c r="L138" s="1">
        <v>6</v>
      </c>
      <c r="M138" s="1">
        <v>1852.67</v>
      </c>
      <c r="N138" s="7">
        <v>5</v>
      </c>
      <c r="O138" s="16">
        <f t="shared" si="12"/>
        <v>11116.02</v>
      </c>
      <c r="P138" s="18">
        <f t="shared" si="13"/>
        <v>555.80100000000004</v>
      </c>
      <c r="Q138" s="18">
        <f t="shared" si="14"/>
        <v>10560.219000000001</v>
      </c>
      <c r="R138" s="14" t="str">
        <f t="shared" si="15"/>
        <v>High Sell</v>
      </c>
      <c r="S138" s="8" t="str">
        <f t="shared" si="16"/>
        <v>High</v>
      </c>
      <c r="T138" s="8" t="str">
        <f t="shared" si="17"/>
        <v>High</v>
      </c>
      <c r="U138" s="8"/>
    </row>
    <row r="139" spans="1:21" ht="14.25" customHeight="1">
      <c r="A139" s="1">
        <v>10148</v>
      </c>
      <c r="B139" s="1">
        <v>1288</v>
      </c>
      <c r="C139" s="2">
        <v>45035</v>
      </c>
      <c r="D139" s="2">
        <v>45043</v>
      </c>
      <c r="E139" s="1" t="s">
        <v>33</v>
      </c>
      <c r="F139" s="1" t="s">
        <v>28</v>
      </c>
      <c r="G139" s="1" t="s">
        <v>29</v>
      </c>
      <c r="H139" s="1" t="s">
        <v>43</v>
      </c>
      <c r="I139" s="1" t="s">
        <v>18</v>
      </c>
      <c r="J139" s="1" t="s">
        <v>19</v>
      </c>
      <c r="K139" s="1" t="s">
        <v>46</v>
      </c>
      <c r="L139" s="1">
        <v>3</v>
      </c>
      <c r="M139" s="1">
        <v>3219.26</v>
      </c>
      <c r="N139" s="7">
        <v>10</v>
      </c>
      <c r="O139" s="16">
        <f t="shared" si="12"/>
        <v>9657.7800000000007</v>
      </c>
      <c r="P139" s="18">
        <f t="shared" si="13"/>
        <v>965.77800000000013</v>
      </c>
      <c r="Q139" s="18">
        <f t="shared" si="14"/>
        <v>8692.0020000000004</v>
      </c>
      <c r="R139" s="14" t="str">
        <f t="shared" si="15"/>
        <v>Low Sell</v>
      </c>
      <c r="S139" s="8" t="str">
        <f t="shared" si="16"/>
        <v>Low</v>
      </c>
      <c r="T139" s="8" t="str">
        <f t="shared" si="17"/>
        <v>Low</v>
      </c>
      <c r="U139" s="8"/>
    </row>
    <row r="140" spans="1:21" ht="14.25" customHeight="1">
      <c r="A140" s="1">
        <v>10149</v>
      </c>
      <c r="B140" s="1">
        <v>1378</v>
      </c>
      <c r="C140" s="2">
        <v>45002</v>
      </c>
      <c r="D140" s="2">
        <v>45010</v>
      </c>
      <c r="E140" s="1" t="s">
        <v>21</v>
      </c>
      <c r="F140" s="1" t="s">
        <v>22</v>
      </c>
      <c r="G140" s="1" t="s">
        <v>29</v>
      </c>
      <c r="H140" s="1" t="s">
        <v>41</v>
      </c>
      <c r="I140" s="1" t="s">
        <v>56</v>
      </c>
      <c r="J140" s="1" t="s">
        <v>61</v>
      </c>
      <c r="K140" s="1" t="s">
        <v>32</v>
      </c>
      <c r="L140" s="1">
        <v>8</v>
      </c>
      <c r="M140" s="1">
        <v>2938.3</v>
      </c>
      <c r="N140" s="7">
        <v>15</v>
      </c>
      <c r="O140" s="16">
        <f t="shared" si="12"/>
        <v>23506.400000000001</v>
      </c>
      <c r="P140" s="18">
        <f t="shared" si="13"/>
        <v>3525.96</v>
      </c>
      <c r="Q140" s="18">
        <f t="shared" si="14"/>
        <v>19980.440000000002</v>
      </c>
      <c r="R140" s="14" t="str">
        <f t="shared" si="15"/>
        <v>High Sell</v>
      </c>
      <c r="S140" s="8" t="str">
        <f t="shared" si="16"/>
        <v>High</v>
      </c>
      <c r="T140" s="8" t="str">
        <f t="shared" si="17"/>
        <v>High</v>
      </c>
      <c r="U140" s="8"/>
    </row>
    <row r="141" spans="1:21" ht="14.25" customHeight="1">
      <c r="A141" s="1">
        <v>10150</v>
      </c>
      <c r="B141" s="1">
        <v>1772</v>
      </c>
      <c r="C141" s="2">
        <v>44956</v>
      </c>
      <c r="D141" s="2">
        <v>44961</v>
      </c>
      <c r="E141" s="1" t="s">
        <v>21</v>
      </c>
      <c r="F141" s="1" t="s">
        <v>53</v>
      </c>
      <c r="G141" s="1" t="s">
        <v>23</v>
      </c>
      <c r="H141" s="1" t="s">
        <v>17</v>
      </c>
      <c r="I141" s="1" t="s">
        <v>48</v>
      </c>
      <c r="J141" s="1" t="s">
        <v>50</v>
      </c>
      <c r="K141" s="1" t="s">
        <v>27</v>
      </c>
      <c r="L141" s="1">
        <v>2</v>
      </c>
      <c r="M141" s="1">
        <v>2808.06</v>
      </c>
      <c r="N141" s="7">
        <v>0</v>
      </c>
      <c r="O141" s="16">
        <f t="shared" si="12"/>
        <v>5616.12</v>
      </c>
      <c r="P141" s="18">
        <f t="shared" si="13"/>
        <v>0</v>
      </c>
      <c r="Q141" s="18">
        <f t="shared" si="14"/>
        <v>5616.12</v>
      </c>
      <c r="R141" s="14" t="str">
        <f t="shared" si="15"/>
        <v>Low Sell</v>
      </c>
      <c r="S141" s="8" t="str">
        <f t="shared" si="16"/>
        <v>Low</v>
      </c>
      <c r="T141" s="8" t="str">
        <f t="shared" si="17"/>
        <v>Low</v>
      </c>
      <c r="U141" s="8"/>
    </row>
    <row r="142" spans="1:21" ht="14.25" customHeight="1">
      <c r="A142" s="1">
        <v>10151</v>
      </c>
      <c r="B142" s="1">
        <v>1489</v>
      </c>
      <c r="C142" s="2">
        <v>45240</v>
      </c>
      <c r="D142" s="2">
        <v>45241</v>
      </c>
      <c r="E142" s="1" t="s">
        <v>33</v>
      </c>
      <c r="F142" s="1" t="s">
        <v>28</v>
      </c>
      <c r="G142" s="1" t="s">
        <v>29</v>
      </c>
      <c r="H142" s="1" t="s">
        <v>17</v>
      </c>
      <c r="I142" s="1" t="s">
        <v>48</v>
      </c>
      <c r="J142" s="1" t="s">
        <v>62</v>
      </c>
      <c r="K142" s="1" t="s">
        <v>46</v>
      </c>
      <c r="L142" s="1">
        <v>5</v>
      </c>
      <c r="M142" s="1">
        <v>1461.1</v>
      </c>
      <c r="N142" s="7">
        <v>15</v>
      </c>
      <c r="O142" s="16">
        <f t="shared" si="12"/>
        <v>7305.5</v>
      </c>
      <c r="P142" s="18">
        <f t="shared" si="13"/>
        <v>1095.825</v>
      </c>
      <c r="Q142" s="18">
        <f t="shared" si="14"/>
        <v>6209.6750000000002</v>
      </c>
      <c r="R142" s="14" t="str">
        <f t="shared" si="15"/>
        <v>High Sell</v>
      </c>
      <c r="S142" s="8" t="str">
        <f t="shared" si="16"/>
        <v>Medium</v>
      </c>
      <c r="T142" s="8" t="str">
        <f t="shared" si="17"/>
        <v>Medium</v>
      </c>
      <c r="U142" s="8"/>
    </row>
    <row r="143" spans="1:21" ht="14.25" customHeight="1">
      <c r="A143" s="1">
        <v>10152</v>
      </c>
      <c r="B143" s="1">
        <v>1230</v>
      </c>
      <c r="C143" s="2">
        <v>45043</v>
      </c>
      <c r="D143" s="2">
        <v>45050</v>
      </c>
      <c r="E143" s="1" t="s">
        <v>36</v>
      </c>
      <c r="F143" s="1" t="s">
        <v>15</v>
      </c>
      <c r="G143" s="1" t="s">
        <v>23</v>
      </c>
      <c r="H143" s="1" t="s">
        <v>43</v>
      </c>
      <c r="I143" s="1" t="s">
        <v>51</v>
      </c>
      <c r="J143" s="1" t="s">
        <v>55</v>
      </c>
      <c r="K143" s="1" t="s">
        <v>46</v>
      </c>
      <c r="L143" s="1">
        <v>1</v>
      </c>
      <c r="M143" s="1">
        <v>3249.11</v>
      </c>
      <c r="N143" s="7">
        <v>10</v>
      </c>
      <c r="O143" s="16">
        <f t="shared" si="12"/>
        <v>3249.11</v>
      </c>
      <c r="P143" s="18">
        <f t="shared" si="13"/>
        <v>324.91100000000006</v>
      </c>
      <c r="Q143" s="18">
        <f t="shared" si="14"/>
        <v>2924.1990000000001</v>
      </c>
      <c r="R143" s="14" t="str">
        <f t="shared" si="15"/>
        <v>Low Sell</v>
      </c>
      <c r="S143" s="8" t="str">
        <f t="shared" si="16"/>
        <v>Low</v>
      </c>
      <c r="T143" s="8" t="str">
        <f t="shared" si="17"/>
        <v>Low</v>
      </c>
      <c r="U143" s="8"/>
    </row>
    <row r="144" spans="1:21" ht="14.25" customHeight="1">
      <c r="A144" s="1">
        <v>10154</v>
      </c>
      <c r="B144" s="1">
        <v>1027</v>
      </c>
      <c r="C144" s="2">
        <v>45118</v>
      </c>
      <c r="D144" s="2">
        <v>45126</v>
      </c>
      <c r="E144" s="1" t="s">
        <v>39</v>
      </c>
      <c r="F144" s="1" t="s">
        <v>22</v>
      </c>
      <c r="G144" s="1" t="s">
        <v>16</v>
      </c>
      <c r="H144" s="1" t="s">
        <v>41</v>
      </c>
      <c r="I144" s="1" t="s">
        <v>18</v>
      </c>
      <c r="J144" s="1" t="s">
        <v>42</v>
      </c>
      <c r="K144" s="1" t="s">
        <v>44</v>
      </c>
      <c r="L144" s="1">
        <v>2</v>
      </c>
      <c r="M144" s="1">
        <v>764.56</v>
      </c>
      <c r="N144" s="7">
        <v>0</v>
      </c>
      <c r="O144" s="16">
        <f t="shared" si="12"/>
        <v>1529.12</v>
      </c>
      <c r="P144" s="18">
        <f t="shared" si="13"/>
        <v>0</v>
      </c>
      <c r="Q144" s="18">
        <f t="shared" si="14"/>
        <v>1529.12</v>
      </c>
      <c r="R144" s="14" t="str">
        <f t="shared" si="15"/>
        <v>Low Sell</v>
      </c>
      <c r="S144" s="8" t="str">
        <f t="shared" si="16"/>
        <v>Low</v>
      </c>
      <c r="T144" s="8" t="str">
        <f t="shared" si="17"/>
        <v>Low</v>
      </c>
      <c r="U144" s="8"/>
    </row>
    <row r="145" spans="1:21" ht="14.25" customHeight="1">
      <c r="A145" s="1">
        <v>10155</v>
      </c>
      <c r="B145" s="1">
        <v>1134</v>
      </c>
      <c r="C145" s="2">
        <v>44945</v>
      </c>
      <c r="D145" s="2">
        <v>44954</v>
      </c>
      <c r="E145" s="1" t="s">
        <v>15</v>
      </c>
      <c r="F145" s="1" t="s">
        <v>28</v>
      </c>
      <c r="G145" s="1" t="s">
        <v>29</v>
      </c>
      <c r="H145" s="1" t="s">
        <v>24</v>
      </c>
      <c r="I145" s="1" t="s">
        <v>51</v>
      </c>
      <c r="J145" s="1" t="s">
        <v>55</v>
      </c>
      <c r="K145" s="1" t="s">
        <v>20</v>
      </c>
      <c r="L145" s="1">
        <v>4</v>
      </c>
      <c r="M145" s="1">
        <v>1442.15</v>
      </c>
      <c r="N145" s="7">
        <v>15</v>
      </c>
      <c r="O145" s="16">
        <f t="shared" si="12"/>
        <v>5768.6</v>
      </c>
      <c r="P145" s="18">
        <f t="shared" si="13"/>
        <v>865.29000000000008</v>
      </c>
      <c r="Q145" s="18">
        <f t="shared" si="14"/>
        <v>4903.3100000000004</v>
      </c>
      <c r="R145" s="14" t="str">
        <f t="shared" si="15"/>
        <v>Low Sell</v>
      </c>
      <c r="S145" s="8" t="str">
        <f t="shared" si="16"/>
        <v>Low</v>
      </c>
      <c r="T145" s="8" t="str">
        <f t="shared" si="17"/>
        <v>Low</v>
      </c>
      <c r="U145" s="8"/>
    </row>
    <row r="146" spans="1:21" ht="14.25" customHeight="1">
      <c r="A146" s="1">
        <v>10156</v>
      </c>
      <c r="B146" s="1">
        <v>1200</v>
      </c>
      <c r="C146" s="2">
        <v>45099</v>
      </c>
      <c r="D146" s="2">
        <v>45106</v>
      </c>
      <c r="E146" s="1" t="s">
        <v>39</v>
      </c>
      <c r="F146" s="1" t="s">
        <v>37</v>
      </c>
      <c r="G146" s="1" t="s">
        <v>23</v>
      </c>
      <c r="H146" s="1" t="s">
        <v>17</v>
      </c>
      <c r="I146" s="1" t="s">
        <v>56</v>
      </c>
      <c r="J146" s="1" t="s">
        <v>58</v>
      </c>
      <c r="K146" s="1" t="s">
        <v>44</v>
      </c>
      <c r="L146" s="1">
        <v>6</v>
      </c>
      <c r="M146" s="1">
        <v>445.71</v>
      </c>
      <c r="N146" s="7">
        <v>15</v>
      </c>
      <c r="O146" s="16">
        <f t="shared" si="12"/>
        <v>2674.2599999999998</v>
      </c>
      <c r="P146" s="18">
        <f t="shared" si="13"/>
        <v>401.13899999999995</v>
      </c>
      <c r="Q146" s="18">
        <f t="shared" si="14"/>
        <v>2273.1209999999996</v>
      </c>
      <c r="R146" s="14" t="str">
        <f t="shared" si="15"/>
        <v>High Sell</v>
      </c>
      <c r="S146" s="8" t="str">
        <f t="shared" si="16"/>
        <v>High</v>
      </c>
      <c r="T146" s="8" t="str">
        <f t="shared" si="17"/>
        <v>High</v>
      </c>
      <c r="U146" s="8"/>
    </row>
    <row r="147" spans="1:21" ht="14.25" customHeight="1">
      <c r="A147" s="1">
        <v>10157</v>
      </c>
      <c r="B147" s="1">
        <v>1839</v>
      </c>
      <c r="C147" s="2">
        <v>45154</v>
      </c>
      <c r="D147" s="2">
        <v>45161</v>
      </c>
      <c r="E147" s="1" t="s">
        <v>15</v>
      </c>
      <c r="F147" s="1" t="s">
        <v>22</v>
      </c>
      <c r="G147" s="1" t="s">
        <v>29</v>
      </c>
      <c r="H147" s="1" t="s">
        <v>24</v>
      </c>
      <c r="I147" s="1" t="s">
        <v>18</v>
      </c>
      <c r="J147" s="1" t="s">
        <v>19</v>
      </c>
      <c r="K147" s="1" t="s">
        <v>32</v>
      </c>
      <c r="L147" s="1">
        <v>8</v>
      </c>
      <c r="M147" s="1">
        <v>1054.73</v>
      </c>
      <c r="N147" s="7">
        <v>0</v>
      </c>
      <c r="O147" s="16">
        <f t="shared" si="12"/>
        <v>8437.84</v>
      </c>
      <c r="P147" s="18">
        <f t="shared" si="13"/>
        <v>0</v>
      </c>
      <c r="Q147" s="18">
        <f t="shared" si="14"/>
        <v>8437.84</v>
      </c>
      <c r="R147" s="14" t="str">
        <f t="shared" si="15"/>
        <v>High Sell</v>
      </c>
      <c r="S147" s="8" t="str">
        <f t="shared" si="16"/>
        <v>High</v>
      </c>
      <c r="T147" s="8" t="str">
        <f t="shared" si="17"/>
        <v>High</v>
      </c>
      <c r="U147" s="8"/>
    </row>
    <row r="148" spans="1:21" ht="14.25" customHeight="1">
      <c r="A148" s="1">
        <v>10158</v>
      </c>
      <c r="B148" s="1">
        <v>1779</v>
      </c>
      <c r="C148" s="2">
        <v>45276</v>
      </c>
      <c r="D148" s="2">
        <v>45277</v>
      </c>
      <c r="E148" s="1" t="s">
        <v>21</v>
      </c>
      <c r="F148" s="1" t="s">
        <v>40</v>
      </c>
      <c r="G148" s="1" t="s">
        <v>23</v>
      </c>
      <c r="H148" s="1" t="s">
        <v>17</v>
      </c>
      <c r="I148" s="1" t="s">
        <v>48</v>
      </c>
      <c r="J148" s="1" t="s">
        <v>62</v>
      </c>
      <c r="K148" s="1" t="s">
        <v>27</v>
      </c>
      <c r="L148" s="1">
        <v>8</v>
      </c>
      <c r="M148" s="1">
        <v>3346.08</v>
      </c>
      <c r="N148" s="7">
        <v>15</v>
      </c>
      <c r="O148" s="16">
        <f t="shared" si="12"/>
        <v>26768.639999999999</v>
      </c>
      <c r="P148" s="18">
        <f t="shared" si="13"/>
        <v>4015.2959999999998</v>
      </c>
      <c r="Q148" s="18">
        <f t="shared" si="14"/>
        <v>22753.344000000001</v>
      </c>
      <c r="R148" s="14" t="str">
        <f t="shared" si="15"/>
        <v>High Sell</v>
      </c>
      <c r="S148" s="8" t="str">
        <f t="shared" si="16"/>
        <v>High</v>
      </c>
      <c r="T148" s="8" t="str">
        <f t="shared" si="17"/>
        <v>High</v>
      </c>
      <c r="U148" s="8"/>
    </row>
    <row r="149" spans="1:21" ht="14.25" customHeight="1">
      <c r="A149" s="1">
        <v>10159</v>
      </c>
      <c r="B149" s="1">
        <v>1929</v>
      </c>
      <c r="C149" s="2">
        <v>45109</v>
      </c>
      <c r="D149" s="2">
        <v>45113</v>
      </c>
      <c r="E149" s="1" t="s">
        <v>33</v>
      </c>
      <c r="F149" s="1" t="s">
        <v>15</v>
      </c>
      <c r="G149" s="1" t="s">
        <v>23</v>
      </c>
      <c r="H149" s="1" t="s">
        <v>24</v>
      </c>
      <c r="I149" s="1" t="s">
        <v>48</v>
      </c>
      <c r="J149" s="1" t="s">
        <v>66</v>
      </c>
      <c r="K149" s="1" t="s">
        <v>44</v>
      </c>
      <c r="L149" s="1">
        <v>6</v>
      </c>
      <c r="M149" s="1">
        <v>3800.77</v>
      </c>
      <c r="N149" s="7">
        <v>0</v>
      </c>
      <c r="O149" s="16">
        <f t="shared" si="12"/>
        <v>22804.62</v>
      </c>
      <c r="P149" s="18">
        <f t="shared" si="13"/>
        <v>0</v>
      </c>
      <c r="Q149" s="18">
        <f t="shared" si="14"/>
        <v>22804.62</v>
      </c>
      <c r="R149" s="14" t="str">
        <f t="shared" si="15"/>
        <v>High Sell</v>
      </c>
      <c r="S149" s="8" t="str">
        <f t="shared" si="16"/>
        <v>High</v>
      </c>
      <c r="T149" s="8" t="str">
        <f t="shared" si="17"/>
        <v>High</v>
      </c>
      <c r="U149" s="8"/>
    </row>
    <row r="150" spans="1:21" ht="14.25" customHeight="1">
      <c r="A150" s="1">
        <v>10160</v>
      </c>
      <c r="B150" s="1">
        <v>1032</v>
      </c>
      <c r="C150" s="2">
        <v>45039</v>
      </c>
      <c r="D150" s="2">
        <v>45041</v>
      </c>
      <c r="E150" s="1" t="s">
        <v>21</v>
      </c>
      <c r="F150" s="1" t="s">
        <v>37</v>
      </c>
      <c r="G150" s="1" t="s">
        <v>16</v>
      </c>
      <c r="H150" s="1" t="s">
        <v>43</v>
      </c>
      <c r="I150" s="1" t="s">
        <v>30</v>
      </c>
      <c r="J150" s="1" t="s">
        <v>47</v>
      </c>
      <c r="K150" s="1" t="s">
        <v>46</v>
      </c>
      <c r="L150" s="1">
        <v>4</v>
      </c>
      <c r="M150" s="1">
        <v>1322.72</v>
      </c>
      <c r="N150" s="7">
        <v>5</v>
      </c>
      <c r="O150" s="16">
        <f t="shared" si="12"/>
        <v>5290.88</v>
      </c>
      <c r="P150" s="18">
        <f t="shared" si="13"/>
        <v>264.54400000000004</v>
      </c>
      <c r="Q150" s="18">
        <f t="shared" si="14"/>
        <v>5026.3360000000002</v>
      </c>
      <c r="R150" s="14" t="str">
        <f t="shared" si="15"/>
        <v>Low Sell</v>
      </c>
      <c r="S150" s="8" t="str">
        <f t="shared" si="16"/>
        <v>Low</v>
      </c>
      <c r="T150" s="8" t="str">
        <f t="shared" si="17"/>
        <v>Low</v>
      </c>
      <c r="U150" s="8"/>
    </row>
    <row r="151" spans="1:21" ht="14.25" customHeight="1">
      <c r="A151" s="1">
        <v>10161</v>
      </c>
      <c r="B151" s="1">
        <v>1047</v>
      </c>
      <c r="C151" s="2">
        <v>45109</v>
      </c>
      <c r="D151" s="2">
        <v>45111</v>
      </c>
      <c r="E151" s="1" t="s">
        <v>45</v>
      </c>
      <c r="F151" s="1" t="s">
        <v>40</v>
      </c>
      <c r="G151" s="1" t="s">
        <v>16</v>
      </c>
      <c r="H151" s="1" t="s">
        <v>34</v>
      </c>
      <c r="I151" s="1" t="s">
        <v>18</v>
      </c>
      <c r="J151" s="1" t="s">
        <v>19</v>
      </c>
      <c r="K151" s="1" t="s">
        <v>32</v>
      </c>
      <c r="L151" s="1">
        <v>8</v>
      </c>
      <c r="M151" s="1">
        <v>1168.3900000000001</v>
      </c>
      <c r="N151" s="7">
        <v>10</v>
      </c>
      <c r="O151" s="16">
        <f t="shared" si="12"/>
        <v>9347.1200000000008</v>
      </c>
      <c r="P151" s="18">
        <f t="shared" si="13"/>
        <v>934.7120000000001</v>
      </c>
      <c r="Q151" s="18">
        <f t="shared" si="14"/>
        <v>8412.4080000000013</v>
      </c>
      <c r="R151" s="14" t="str">
        <f t="shared" si="15"/>
        <v>High Sell</v>
      </c>
      <c r="S151" s="8" t="str">
        <f t="shared" si="16"/>
        <v>High</v>
      </c>
      <c r="T151" s="8" t="str">
        <f t="shared" si="17"/>
        <v>High</v>
      </c>
      <c r="U151" s="8"/>
    </row>
    <row r="152" spans="1:21" ht="14.25" customHeight="1">
      <c r="A152" s="1">
        <v>10162</v>
      </c>
      <c r="B152" s="1">
        <v>1502</v>
      </c>
      <c r="C152" s="2">
        <v>45072</v>
      </c>
      <c r="D152" s="2">
        <v>45074</v>
      </c>
      <c r="E152" s="1" t="s">
        <v>36</v>
      </c>
      <c r="F152" s="1" t="s">
        <v>28</v>
      </c>
      <c r="G152" s="1" t="s">
        <v>23</v>
      </c>
      <c r="H152" s="1" t="s">
        <v>43</v>
      </c>
      <c r="I152" s="1" t="s">
        <v>56</v>
      </c>
      <c r="J152" s="1" t="s">
        <v>57</v>
      </c>
      <c r="K152" s="1" t="s">
        <v>32</v>
      </c>
      <c r="L152" s="1">
        <v>8</v>
      </c>
      <c r="M152" s="1">
        <v>1227.5899999999999</v>
      </c>
      <c r="N152" s="7">
        <v>5</v>
      </c>
      <c r="O152" s="16">
        <f t="shared" si="12"/>
        <v>9820.7199999999993</v>
      </c>
      <c r="P152" s="18">
        <f t="shared" si="13"/>
        <v>491.036</v>
      </c>
      <c r="Q152" s="18">
        <f t="shared" si="14"/>
        <v>9329.6839999999993</v>
      </c>
      <c r="R152" s="14" t="str">
        <f t="shared" si="15"/>
        <v>High Sell</v>
      </c>
      <c r="S152" s="8" t="str">
        <f t="shared" si="16"/>
        <v>High</v>
      </c>
      <c r="T152" s="8" t="str">
        <f t="shared" si="17"/>
        <v>High</v>
      </c>
      <c r="U152" s="8"/>
    </row>
    <row r="153" spans="1:21" ht="14.25" customHeight="1">
      <c r="A153" s="1">
        <v>10163</v>
      </c>
      <c r="B153" s="1">
        <v>1406</v>
      </c>
      <c r="C153" s="2">
        <v>45245</v>
      </c>
      <c r="D153" s="2">
        <v>45249</v>
      </c>
      <c r="E153" s="1" t="s">
        <v>15</v>
      </c>
      <c r="F153" s="1" t="s">
        <v>22</v>
      </c>
      <c r="G153" s="1" t="s">
        <v>29</v>
      </c>
      <c r="H153" s="1" t="s">
        <v>43</v>
      </c>
      <c r="I153" s="1" t="s">
        <v>51</v>
      </c>
      <c r="J153" s="1" t="s">
        <v>52</v>
      </c>
      <c r="K153" s="1" t="s">
        <v>44</v>
      </c>
      <c r="L153" s="1">
        <v>1</v>
      </c>
      <c r="M153" s="1">
        <v>1219.22</v>
      </c>
      <c r="N153" s="7">
        <v>20</v>
      </c>
      <c r="O153" s="16">
        <f t="shared" si="12"/>
        <v>1219.22</v>
      </c>
      <c r="P153" s="18">
        <f t="shared" si="13"/>
        <v>243.84400000000002</v>
      </c>
      <c r="Q153" s="18">
        <f t="shared" si="14"/>
        <v>975.37599999999998</v>
      </c>
      <c r="R153" s="14" t="str">
        <f t="shared" si="15"/>
        <v>Low Sell</v>
      </c>
      <c r="S153" s="8" t="str">
        <f t="shared" si="16"/>
        <v>Low</v>
      </c>
      <c r="T153" s="8" t="str">
        <f t="shared" si="17"/>
        <v>Low</v>
      </c>
      <c r="U153" s="8"/>
    </row>
    <row r="154" spans="1:21" ht="14.25" customHeight="1">
      <c r="A154" s="1">
        <v>10164</v>
      </c>
      <c r="B154" s="1">
        <v>1573</v>
      </c>
      <c r="C154" s="2">
        <v>45042</v>
      </c>
      <c r="D154" s="2">
        <v>45043</v>
      </c>
      <c r="E154" s="1" t="s">
        <v>39</v>
      </c>
      <c r="F154" s="1" t="s">
        <v>15</v>
      </c>
      <c r="G154" s="1" t="s">
        <v>23</v>
      </c>
      <c r="H154" s="1" t="s">
        <v>34</v>
      </c>
      <c r="I154" s="1" t="s">
        <v>51</v>
      </c>
      <c r="J154" s="1" t="s">
        <v>63</v>
      </c>
      <c r="K154" s="1" t="s">
        <v>44</v>
      </c>
      <c r="L154" s="1">
        <v>4</v>
      </c>
      <c r="M154" s="1">
        <v>288.33</v>
      </c>
      <c r="N154" s="7">
        <v>20</v>
      </c>
      <c r="O154" s="16">
        <f t="shared" si="12"/>
        <v>1153.32</v>
      </c>
      <c r="P154" s="18">
        <f t="shared" si="13"/>
        <v>230.66399999999999</v>
      </c>
      <c r="Q154" s="18">
        <f t="shared" si="14"/>
        <v>922.65599999999995</v>
      </c>
      <c r="R154" s="14" t="str">
        <f t="shared" si="15"/>
        <v>Low Sell</v>
      </c>
      <c r="S154" s="8" t="str">
        <f t="shared" si="16"/>
        <v>Low</v>
      </c>
      <c r="T154" s="8" t="str">
        <f t="shared" si="17"/>
        <v>Low</v>
      </c>
      <c r="U154" s="8"/>
    </row>
    <row r="155" spans="1:21" ht="14.25" customHeight="1">
      <c r="A155" s="1">
        <v>10165</v>
      </c>
      <c r="B155" s="1">
        <v>1727</v>
      </c>
      <c r="C155" s="2">
        <v>45039</v>
      </c>
      <c r="D155" s="2">
        <v>45043</v>
      </c>
      <c r="E155" s="1" t="s">
        <v>33</v>
      </c>
      <c r="F155" s="1" t="s">
        <v>37</v>
      </c>
      <c r="G155" s="1" t="s">
        <v>23</v>
      </c>
      <c r="H155" s="1" t="s">
        <v>34</v>
      </c>
      <c r="I155" s="1" t="s">
        <v>56</v>
      </c>
      <c r="J155" s="1" t="s">
        <v>61</v>
      </c>
      <c r="K155" s="1" t="s">
        <v>27</v>
      </c>
      <c r="L155" s="1">
        <v>4</v>
      </c>
      <c r="M155" s="1">
        <v>3718.63</v>
      </c>
      <c r="N155" s="7">
        <v>20</v>
      </c>
      <c r="O155" s="16">
        <f t="shared" si="12"/>
        <v>14874.52</v>
      </c>
      <c r="P155" s="18">
        <f t="shared" si="13"/>
        <v>2974.9040000000005</v>
      </c>
      <c r="Q155" s="18">
        <f t="shared" si="14"/>
        <v>11899.616</v>
      </c>
      <c r="R155" s="14" t="str">
        <f t="shared" si="15"/>
        <v>Low Sell</v>
      </c>
      <c r="S155" s="8" t="str">
        <f t="shared" si="16"/>
        <v>Low</v>
      </c>
      <c r="T155" s="8" t="str">
        <f t="shared" si="17"/>
        <v>Low</v>
      </c>
      <c r="U155" s="8"/>
    </row>
    <row r="156" spans="1:21" ht="14.25" customHeight="1">
      <c r="A156" s="1">
        <v>10166</v>
      </c>
      <c r="B156" s="1">
        <v>1804</v>
      </c>
      <c r="C156" s="2">
        <v>45177</v>
      </c>
      <c r="D156" s="2">
        <v>45179</v>
      </c>
      <c r="E156" s="1" t="s">
        <v>15</v>
      </c>
      <c r="F156" s="1" t="s">
        <v>40</v>
      </c>
      <c r="G156" s="1" t="s">
        <v>29</v>
      </c>
      <c r="H156" s="1" t="s">
        <v>41</v>
      </c>
      <c r="I156" s="1" t="s">
        <v>25</v>
      </c>
      <c r="J156" s="1" t="s">
        <v>26</v>
      </c>
      <c r="K156" s="1" t="s">
        <v>20</v>
      </c>
      <c r="L156" s="1">
        <v>7</v>
      </c>
      <c r="M156" s="1">
        <v>972.74</v>
      </c>
      <c r="N156" s="7">
        <v>0</v>
      </c>
      <c r="O156" s="16">
        <f t="shared" si="12"/>
        <v>6809.18</v>
      </c>
      <c r="P156" s="18">
        <f t="shared" si="13"/>
        <v>0</v>
      </c>
      <c r="Q156" s="18">
        <f t="shared" si="14"/>
        <v>6809.18</v>
      </c>
      <c r="R156" s="14" t="str">
        <f t="shared" si="15"/>
        <v>High Sell</v>
      </c>
      <c r="S156" s="8" t="str">
        <f t="shared" si="16"/>
        <v>High</v>
      </c>
      <c r="T156" s="8" t="str">
        <f t="shared" si="17"/>
        <v>High</v>
      </c>
      <c r="U156" s="8"/>
    </row>
    <row r="157" spans="1:21" ht="14.25" customHeight="1">
      <c r="A157" s="1">
        <v>10167</v>
      </c>
      <c r="B157" s="1">
        <v>1098</v>
      </c>
      <c r="C157" s="2">
        <v>45177</v>
      </c>
      <c r="D157" s="2">
        <v>45182</v>
      </c>
      <c r="E157" s="1" t="s">
        <v>39</v>
      </c>
      <c r="F157" s="1" t="s">
        <v>40</v>
      </c>
      <c r="G157" s="1" t="s">
        <v>29</v>
      </c>
      <c r="H157" s="1" t="s">
        <v>41</v>
      </c>
      <c r="I157" s="1" t="s">
        <v>30</v>
      </c>
      <c r="J157" s="1" t="s">
        <v>31</v>
      </c>
      <c r="K157" s="1" t="s">
        <v>44</v>
      </c>
      <c r="L157" s="1">
        <v>7</v>
      </c>
      <c r="M157" s="1">
        <v>1767.02</v>
      </c>
      <c r="N157" s="7">
        <v>15</v>
      </c>
      <c r="O157" s="16">
        <f t="shared" si="12"/>
        <v>12369.14</v>
      </c>
      <c r="P157" s="18">
        <f t="shared" si="13"/>
        <v>1855.3709999999999</v>
      </c>
      <c r="Q157" s="18">
        <f t="shared" si="14"/>
        <v>10513.769</v>
      </c>
      <c r="R157" s="14" t="str">
        <f t="shared" si="15"/>
        <v>High Sell</v>
      </c>
      <c r="S157" s="8" t="str">
        <f t="shared" si="16"/>
        <v>High</v>
      </c>
      <c r="T157" s="8" t="str">
        <f t="shared" si="17"/>
        <v>High</v>
      </c>
      <c r="U157" s="8"/>
    </row>
    <row r="158" spans="1:21" ht="14.25" customHeight="1">
      <c r="A158" s="1">
        <v>10168</v>
      </c>
      <c r="B158" s="1">
        <v>1683</v>
      </c>
      <c r="C158" s="2">
        <v>45229</v>
      </c>
      <c r="D158" s="2">
        <v>45232</v>
      </c>
      <c r="E158" s="1" t="s">
        <v>36</v>
      </c>
      <c r="F158" s="1" t="s">
        <v>15</v>
      </c>
      <c r="G158" s="1" t="s">
        <v>29</v>
      </c>
      <c r="H158" s="1" t="s">
        <v>43</v>
      </c>
      <c r="I158" s="1" t="s">
        <v>51</v>
      </c>
      <c r="J158" s="1" t="s">
        <v>55</v>
      </c>
      <c r="K158" s="1" t="s">
        <v>44</v>
      </c>
      <c r="L158" s="1">
        <v>8</v>
      </c>
      <c r="M158" s="1">
        <v>187.29</v>
      </c>
      <c r="N158" s="7">
        <v>5</v>
      </c>
      <c r="O158" s="16">
        <f t="shared" si="12"/>
        <v>1498.32</v>
      </c>
      <c r="P158" s="18">
        <f t="shared" si="13"/>
        <v>74.915999999999997</v>
      </c>
      <c r="Q158" s="18">
        <f t="shared" si="14"/>
        <v>1423.404</v>
      </c>
      <c r="R158" s="14" t="str">
        <f t="shared" si="15"/>
        <v>High Sell</v>
      </c>
      <c r="S158" s="8" t="str">
        <f t="shared" si="16"/>
        <v>High</v>
      </c>
      <c r="T158" s="8" t="str">
        <f t="shared" si="17"/>
        <v>High</v>
      </c>
      <c r="U158" s="8"/>
    </row>
    <row r="159" spans="1:21" ht="14.25" customHeight="1">
      <c r="A159" s="1">
        <v>10170</v>
      </c>
      <c r="B159" s="1">
        <v>1725</v>
      </c>
      <c r="C159" s="2">
        <v>45044</v>
      </c>
      <c r="D159" s="2">
        <v>45048</v>
      </c>
      <c r="E159" s="1" t="s">
        <v>36</v>
      </c>
      <c r="F159" s="1" t="s">
        <v>15</v>
      </c>
      <c r="G159" s="1" t="s">
        <v>23</v>
      </c>
      <c r="H159" s="1" t="s">
        <v>17</v>
      </c>
      <c r="I159" s="1" t="s">
        <v>30</v>
      </c>
      <c r="J159" s="1" t="s">
        <v>64</v>
      </c>
      <c r="K159" s="1" t="s">
        <v>32</v>
      </c>
      <c r="L159" s="1">
        <v>7</v>
      </c>
      <c r="M159" s="1">
        <v>2964.96</v>
      </c>
      <c r="N159" s="7">
        <v>5</v>
      </c>
      <c r="O159" s="16">
        <f t="shared" si="12"/>
        <v>20754.72</v>
      </c>
      <c r="P159" s="18">
        <f t="shared" si="13"/>
        <v>1037.7360000000001</v>
      </c>
      <c r="Q159" s="18">
        <f t="shared" si="14"/>
        <v>19716.984</v>
      </c>
      <c r="R159" s="14" t="str">
        <f t="shared" si="15"/>
        <v>High Sell</v>
      </c>
      <c r="S159" s="8" t="str">
        <f t="shared" si="16"/>
        <v>High</v>
      </c>
      <c r="T159" s="8" t="str">
        <f t="shared" si="17"/>
        <v>High</v>
      </c>
      <c r="U159" s="8"/>
    </row>
    <row r="160" spans="1:21" ht="14.25" customHeight="1">
      <c r="A160" s="1">
        <v>10171</v>
      </c>
      <c r="B160" s="1">
        <v>1986</v>
      </c>
      <c r="C160" s="2">
        <v>45227</v>
      </c>
      <c r="D160" s="2">
        <v>45228</v>
      </c>
      <c r="E160" s="1" t="s">
        <v>14</v>
      </c>
      <c r="F160" s="1" t="s">
        <v>40</v>
      </c>
      <c r="G160" s="1" t="s">
        <v>23</v>
      </c>
      <c r="H160" s="1" t="s">
        <v>17</v>
      </c>
      <c r="I160" s="1" t="s">
        <v>18</v>
      </c>
      <c r="J160" s="1" t="s">
        <v>42</v>
      </c>
      <c r="K160" s="1" t="s">
        <v>20</v>
      </c>
      <c r="L160" s="1">
        <v>8</v>
      </c>
      <c r="M160" s="1">
        <v>3795.01</v>
      </c>
      <c r="N160" s="7">
        <v>5</v>
      </c>
      <c r="O160" s="16">
        <f t="shared" si="12"/>
        <v>30360.080000000002</v>
      </c>
      <c r="P160" s="18">
        <f t="shared" si="13"/>
        <v>1518.0040000000001</v>
      </c>
      <c r="Q160" s="18">
        <f t="shared" si="14"/>
        <v>28842.076000000001</v>
      </c>
      <c r="R160" s="14" t="str">
        <f t="shared" si="15"/>
        <v>High Sell</v>
      </c>
      <c r="S160" s="8" t="str">
        <f t="shared" si="16"/>
        <v>High</v>
      </c>
      <c r="T160" s="8" t="str">
        <f t="shared" si="17"/>
        <v>High</v>
      </c>
      <c r="U160" s="8"/>
    </row>
    <row r="161" spans="1:21" ht="14.25" customHeight="1">
      <c r="A161" s="1">
        <v>10172</v>
      </c>
      <c r="B161" s="1">
        <v>1546</v>
      </c>
      <c r="C161" s="2">
        <v>45087</v>
      </c>
      <c r="D161" s="2">
        <v>45088</v>
      </c>
      <c r="E161" s="1" t="s">
        <v>45</v>
      </c>
      <c r="F161" s="1" t="s">
        <v>53</v>
      </c>
      <c r="G161" s="1" t="s">
        <v>16</v>
      </c>
      <c r="H161" s="1" t="s">
        <v>41</v>
      </c>
      <c r="I161" s="1" t="s">
        <v>48</v>
      </c>
      <c r="J161" s="1" t="s">
        <v>62</v>
      </c>
      <c r="K161" s="1" t="s">
        <v>46</v>
      </c>
      <c r="L161" s="1">
        <v>9</v>
      </c>
      <c r="M161" s="1">
        <v>3159.22</v>
      </c>
      <c r="N161" s="7">
        <v>20</v>
      </c>
      <c r="O161" s="16">
        <f t="shared" si="12"/>
        <v>28432.98</v>
      </c>
      <c r="P161" s="18">
        <f t="shared" si="13"/>
        <v>5686.5960000000005</v>
      </c>
      <c r="Q161" s="18">
        <f t="shared" si="14"/>
        <v>22746.383999999998</v>
      </c>
      <c r="R161" s="14" t="str">
        <f t="shared" si="15"/>
        <v>High Sell</v>
      </c>
      <c r="S161" s="8" t="str">
        <f t="shared" si="16"/>
        <v>High</v>
      </c>
      <c r="T161" s="8" t="str">
        <f t="shared" si="17"/>
        <v>High</v>
      </c>
      <c r="U161" s="8"/>
    </row>
    <row r="162" spans="1:21" ht="14.25" customHeight="1">
      <c r="A162" s="1">
        <v>10173</v>
      </c>
      <c r="B162" s="1">
        <v>1960</v>
      </c>
      <c r="C162" s="2">
        <v>45124</v>
      </c>
      <c r="D162" s="2">
        <v>45127</v>
      </c>
      <c r="E162" s="1" t="s">
        <v>14</v>
      </c>
      <c r="F162" s="1" t="s">
        <v>37</v>
      </c>
      <c r="G162" s="1" t="s">
        <v>23</v>
      </c>
      <c r="H162" s="1" t="s">
        <v>41</v>
      </c>
      <c r="I162" s="1" t="s">
        <v>30</v>
      </c>
      <c r="J162" s="1" t="s">
        <v>64</v>
      </c>
      <c r="K162" s="1" t="s">
        <v>27</v>
      </c>
      <c r="L162" s="1">
        <v>3</v>
      </c>
      <c r="M162" s="1">
        <v>1357.77</v>
      </c>
      <c r="N162" s="7">
        <v>5</v>
      </c>
      <c r="O162" s="16">
        <f t="shared" si="12"/>
        <v>4073.31</v>
      </c>
      <c r="P162" s="18">
        <f t="shared" si="13"/>
        <v>203.66550000000001</v>
      </c>
      <c r="Q162" s="18">
        <f t="shared" si="14"/>
        <v>3869.6444999999999</v>
      </c>
      <c r="R162" s="14" t="str">
        <f t="shared" si="15"/>
        <v>Low Sell</v>
      </c>
      <c r="S162" s="8" t="str">
        <f t="shared" si="16"/>
        <v>Low</v>
      </c>
      <c r="T162" s="8" t="str">
        <f t="shared" si="17"/>
        <v>Low</v>
      </c>
      <c r="U162" s="8"/>
    </row>
    <row r="163" spans="1:21" ht="14.25" customHeight="1">
      <c r="A163" s="1">
        <v>10174</v>
      </c>
      <c r="B163" s="1">
        <v>1738</v>
      </c>
      <c r="C163" s="2">
        <v>45186</v>
      </c>
      <c r="D163" s="2">
        <v>45195</v>
      </c>
      <c r="E163" s="1" t="s">
        <v>33</v>
      </c>
      <c r="F163" s="1" t="s">
        <v>15</v>
      </c>
      <c r="G163" s="1" t="s">
        <v>29</v>
      </c>
      <c r="H163" s="1" t="s">
        <v>17</v>
      </c>
      <c r="I163" s="1" t="s">
        <v>51</v>
      </c>
      <c r="J163" s="1" t="s">
        <v>52</v>
      </c>
      <c r="K163" s="1" t="s">
        <v>27</v>
      </c>
      <c r="L163" s="1">
        <v>3</v>
      </c>
      <c r="M163" s="1">
        <v>1104.31</v>
      </c>
      <c r="N163" s="7">
        <v>15</v>
      </c>
      <c r="O163" s="16">
        <f t="shared" si="12"/>
        <v>3312.93</v>
      </c>
      <c r="P163" s="18">
        <f t="shared" si="13"/>
        <v>496.93949999999995</v>
      </c>
      <c r="Q163" s="18">
        <f t="shared" si="14"/>
        <v>2815.9904999999999</v>
      </c>
      <c r="R163" s="14" t="str">
        <f t="shared" si="15"/>
        <v>Low Sell</v>
      </c>
      <c r="S163" s="8" t="str">
        <f t="shared" si="16"/>
        <v>Low</v>
      </c>
      <c r="T163" s="8" t="str">
        <f t="shared" si="17"/>
        <v>Low</v>
      </c>
      <c r="U163" s="8"/>
    </row>
    <row r="164" spans="1:21" ht="14.25" customHeight="1">
      <c r="A164" s="1">
        <v>10175</v>
      </c>
      <c r="B164" s="1">
        <v>1612</v>
      </c>
      <c r="C164" s="2">
        <v>45074</v>
      </c>
      <c r="D164" s="2">
        <v>45081</v>
      </c>
      <c r="E164" s="1" t="s">
        <v>15</v>
      </c>
      <c r="F164" s="1" t="s">
        <v>40</v>
      </c>
      <c r="G164" s="1" t="s">
        <v>16</v>
      </c>
      <c r="H164" s="1" t="s">
        <v>17</v>
      </c>
      <c r="I164" s="1" t="s">
        <v>30</v>
      </c>
      <c r="J164" s="1" t="s">
        <v>31</v>
      </c>
      <c r="K164" s="1" t="s">
        <v>44</v>
      </c>
      <c r="L164" s="1">
        <v>4</v>
      </c>
      <c r="M164" s="1">
        <v>2836.21</v>
      </c>
      <c r="N164" s="7">
        <v>20</v>
      </c>
      <c r="O164" s="16">
        <f t="shared" si="12"/>
        <v>11344.84</v>
      </c>
      <c r="P164" s="18">
        <f t="shared" si="13"/>
        <v>2268.9680000000003</v>
      </c>
      <c r="Q164" s="18">
        <f t="shared" si="14"/>
        <v>9075.8719999999994</v>
      </c>
      <c r="R164" s="14" t="str">
        <f t="shared" si="15"/>
        <v>Low Sell</v>
      </c>
      <c r="S164" s="8" t="str">
        <f t="shared" si="16"/>
        <v>Low</v>
      </c>
      <c r="T164" s="8" t="str">
        <f t="shared" si="17"/>
        <v>Low</v>
      </c>
      <c r="U164" s="8"/>
    </row>
    <row r="165" spans="1:21" ht="14.25" customHeight="1">
      <c r="A165" s="1">
        <v>10178</v>
      </c>
      <c r="B165" s="1">
        <v>1642</v>
      </c>
      <c r="C165" s="2">
        <v>45124</v>
      </c>
      <c r="D165" s="2">
        <v>45126</v>
      </c>
      <c r="E165" s="1" t="s">
        <v>39</v>
      </c>
      <c r="F165" s="1" t="s">
        <v>28</v>
      </c>
      <c r="G165" s="1" t="s">
        <v>16</v>
      </c>
      <c r="H165" s="1" t="s">
        <v>17</v>
      </c>
      <c r="I165" s="1" t="s">
        <v>25</v>
      </c>
      <c r="J165" s="1" t="s">
        <v>60</v>
      </c>
      <c r="K165" s="1" t="s">
        <v>44</v>
      </c>
      <c r="L165" s="1">
        <v>7</v>
      </c>
      <c r="M165" s="1">
        <v>174.09</v>
      </c>
      <c r="N165" s="7">
        <v>10</v>
      </c>
      <c r="O165" s="16">
        <f t="shared" si="12"/>
        <v>1218.6300000000001</v>
      </c>
      <c r="P165" s="18">
        <f t="shared" si="13"/>
        <v>121.86300000000001</v>
      </c>
      <c r="Q165" s="18">
        <f t="shared" si="14"/>
        <v>1096.7670000000001</v>
      </c>
      <c r="R165" s="14" t="str">
        <f t="shared" si="15"/>
        <v>High Sell</v>
      </c>
      <c r="S165" s="8" t="str">
        <f t="shared" si="16"/>
        <v>High</v>
      </c>
      <c r="T165" s="8" t="str">
        <f t="shared" si="17"/>
        <v>High</v>
      </c>
      <c r="U165" s="8"/>
    </row>
    <row r="166" spans="1:21" ht="14.25" customHeight="1">
      <c r="A166" s="1">
        <v>10179</v>
      </c>
      <c r="B166" s="1">
        <v>1768</v>
      </c>
      <c r="C166" s="2">
        <v>44973</v>
      </c>
      <c r="D166" s="2">
        <v>44976</v>
      </c>
      <c r="E166" s="1" t="s">
        <v>36</v>
      </c>
      <c r="F166" s="1" t="s">
        <v>15</v>
      </c>
      <c r="G166" s="1" t="s">
        <v>29</v>
      </c>
      <c r="H166" s="1" t="s">
        <v>24</v>
      </c>
      <c r="I166" s="1" t="s">
        <v>30</v>
      </c>
      <c r="J166" s="1" t="s">
        <v>31</v>
      </c>
      <c r="K166" s="1" t="s">
        <v>20</v>
      </c>
      <c r="L166" s="1">
        <v>9</v>
      </c>
      <c r="M166" s="1">
        <v>388.26</v>
      </c>
      <c r="N166" s="7">
        <v>10</v>
      </c>
      <c r="O166" s="16">
        <f t="shared" si="12"/>
        <v>3494.34</v>
      </c>
      <c r="P166" s="18">
        <f t="shared" si="13"/>
        <v>349.43400000000003</v>
      </c>
      <c r="Q166" s="18">
        <f t="shared" si="14"/>
        <v>3144.9059999999999</v>
      </c>
      <c r="R166" s="14" t="str">
        <f t="shared" si="15"/>
        <v>High Sell</v>
      </c>
      <c r="S166" s="8" t="str">
        <f t="shared" si="16"/>
        <v>High</v>
      </c>
      <c r="T166" s="8" t="str">
        <f t="shared" si="17"/>
        <v>High</v>
      </c>
      <c r="U166" s="8"/>
    </row>
    <row r="167" spans="1:21" ht="14.25" customHeight="1">
      <c r="A167" s="1">
        <v>10180</v>
      </c>
      <c r="B167" s="1">
        <v>1004</v>
      </c>
      <c r="C167" s="2">
        <v>45004</v>
      </c>
      <c r="D167" s="2">
        <v>45006</v>
      </c>
      <c r="E167" s="1" t="s">
        <v>14</v>
      </c>
      <c r="F167" s="1" t="s">
        <v>28</v>
      </c>
      <c r="G167" s="1" t="s">
        <v>16</v>
      </c>
      <c r="H167" s="1" t="s">
        <v>34</v>
      </c>
      <c r="I167" s="1" t="s">
        <v>18</v>
      </c>
      <c r="J167" s="1" t="s">
        <v>42</v>
      </c>
      <c r="K167" s="1" t="s">
        <v>44</v>
      </c>
      <c r="L167" s="1">
        <v>8</v>
      </c>
      <c r="M167" s="1">
        <v>2211.17</v>
      </c>
      <c r="N167" s="7">
        <v>10</v>
      </c>
      <c r="O167" s="16">
        <f t="shared" si="12"/>
        <v>17689.36</v>
      </c>
      <c r="P167" s="18">
        <f t="shared" si="13"/>
        <v>1768.9360000000001</v>
      </c>
      <c r="Q167" s="18">
        <f t="shared" si="14"/>
        <v>15920.424000000001</v>
      </c>
      <c r="R167" s="14" t="str">
        <f t="shared" si="15"/>
        <v>High Sell</v>
      </c>
      <c r="S167" s="8" t="str">
        <f t="shared" si="16"/>
        <v>High</v>
      </c>
      <c r="T167" s="8" t="str">
        <f t="shared" si="17"/>
        <v>High</v>
      </c>
      <c r="U167" s="8"/>
    </row>
    <row r="168" spans="1:21" ht="14.25" customHeight="1">
      <c r="A168" s="1">
        <v>10181</v>
      </c>
      <c r="B168" s="1">
        <v>1217</v>
      </c>
      <c r="C168" s="2">
        <v>45050</v>
      </c>
      <c r="D168" s="2">
        <v>45053</v>
      </c>
      <c r="E168" s="1" t="s">
        <v>14</v>
      </c>
      <c r="F168" s="1" t="s">
        <v>22</v>
      </c>
      <c r="G168" s="1" t="s">
        <v>16</v>
      </c>
      <c r="H168" s="1" t="s">
        <v>41</v>
      </c>
      <c r="I168" s="1" t="s">
        <v>48</v>
      </c>
      <c r="J168" s="1" t="s">
        <v>49</v>
      </c>
      <c r="K168" s="1" t="s">
        <v>32</v>
      </c>
      <c r="L168" s="1">
        <v>5</v>
      </c>
      <c r="M168" s="1">
        <v>2329.38</v>
      </c>
      <c r="N168" s="7">
        <v>20</v>
      </c>
      <c r="O168" s="16">
        <f t="shared" si="12"/>
        <v>11646.900000000001</v>
      </c>
      <c r="P168" s="18">
        <f t="shared" si="13"/>
        <v>2329.3800000000006</v>
      </c>
      <c r="Q168" s="18">
        <f t="shared" si="14"/>
        <v>9317.52</v>
      </c>
      <c r="R168" s="14" t="str">
        <f t="shared" si="15"/>
        <v>High Sell</v>
      </c>
      <c r="S168" s="8" t="str">
        <f t="shared" si="16"/>
        <v>Medium</v>
      </c>
      <c r="T168" s="8" t="str">
        <f t="shared" si="17"/>
        <v>Medium</v>
      </c>
      <c r="U168" s="8"/>
    </row>
    <row r="169" spans="1:21" ht="14.25" customHeight="1">
      <c r="A169" s="1">
        <v>10183</v>
      </c>
      <c r="B169" s="1">
        <v>1766</v>
      </c>
      <c r="C169" s="2">
        <v>45285</v>
      </c>
      <c r="D169" s="2">
        <v>45294</v>
      </c>
      <c r="E169" s="1" t="s">
        <v>14</v>
      </c>
      <c r="F169" s="1" t="s">
        <v>22</v>
      </c>
      <c r="G169" s="1" t="s">
        <v>29</v>
      </c>
      <c r="H169" s="1" t="s">
        <v>17</v>
      </c>
      <c r="I169" s="1" t="s">
        <v>30</v>
      </c>
      <c r="J169" s="1" t="s">
        <v>38</v>
      </c>
      <c r="K169" s="1" t="s">
        <v>46</v>
      </c>
      <c r="L169" s="1">
        <v>7</v>
      </c>
      <c r="M169" s="1">
        <v>658.07</v>
      </c>
      <c r="N169" s="7">
        <v>20</v>
      </c>
      <c r="O169" s="16">
        <f t="shared" si="12"/>
        <v>4606.4900000000007</v>
      </c>
      <c r="P169" s="18">
        <f t="shared" si="13"/>
        <v>921.29800000000023</v>
      </c>
      <c r="Q169" s="18">
        <f t="shared" si="14"/>
        <v>3685.1920000000005</v>
      </c>
      <c r="R169" s="14" t="str">
        <f t="shared" si="15"/>
        <v>High Sell</v>
      </c>
      <c r="S169" s="8" t="str">
        <f t="shared" si="16"/>
        <v>High</v>
      </c>
      <c r="T169" s="8" t="str">
        <f t="shared" si="17"/>
        <v>High</v>
      </c>
      <c r="U169" s="8"/>
    </row>
    <row r="170" spans="1:21" ht="14.25" customHeight="1">
      <c r="A170" s="1">
        <v>10184</v>
      </c>
      <c r="B170" s="1">
        <v>1397</v>
      </c>
      <c r="C170" s="2">
        <v>45063</v>
      </c>
      <c r="D170" s="2">
        <v>45072</v>
      </c>
      <c r="E170" s="1" t="s">
        <v>21</v>
      </c>
      <c r="F170" s="1" t="s">
        <v>53</v>
      </c>
      <c r="G170" s="1" t="s">
        <v>16</v>
      </c>
      <c r="H170" s="1" t="s">
        <v>43</v>
      </c>
      <c r="I170" s="1" t="s">
        <v>51</v>
      </c>
      <c r="J170" s="1" t="s">
        <v>63</v>
      </c>
      <c r="K170" s="1" t="s">
        <v>20</v>
      </c>
      <c r="L170" s="1">
        <v>5</v>
      </c>
      <c r="M170" s="1">
        <v>2125.75</v>
      </c>
      <c r="N170" s="7">
        <v>15</v>
      </c>
      <c r="O170" s="16">
        <f t="shared" si="12"/>
        <v>10628.75</v>
      </c>
      <c r="P170" s="18">
        <f t="shared" si="13"/>
        <v>1594.3125</v>
      </c>
      <c r="Q170" s="18">
        <f t="shared" si="14"/>
        <v>9034.4375</v>
      </c>
      <c r="R170" s="14" t="str">
        <f t="shared" si="15"/>
        <v>High Sell</v>
      </c>
      <c r="S170" s="8" t="str">
        <f t="shared" si="16"/>
        <v>Medium</v>
      </c>
      <c r="T170" s="8" t="str">
        <f t="shared" si="17"/>
        <v>Medium</v>
      </c>
      <c r="U170" s="8"/>
    </row>
    <row r="171" spans="1:21" ht="14.25" customHeight="1">
      <c r="A171" s="1">
        <v>10185</v>
      </c>
      <c r="B171" s="1">
        <v>1870</v>
      </c>
      <c r="C171" s="2">
        <v>45016</v>
      </c>
      <c r="D171" s="2">
        <v>45023</v>
      </c>
      <c r="E171" s="1" t="s">
        <v>33</v>
      </c>
      <c r="F171" s="1" t="s">
        <v>15</v>
      </c>
      <c r="G171" s="1" t="s">
        <v>16</v>
      </c>
      <c r="H171" s="1" t="s">
        <v>17</v>
      </c>
      <c r="I171" s="1" t="s">
        <v>30</v>
      </c>
      <c r="J171" s="1" t="s">
        <v>38</v>
      </c>
      <c r="K171" s="1" t="s">
        <v>46</v>
      </c>
      <c r="L171" s="1">
        <v>7</v>
      </c>
      <c r="M171" s="1">
        <v>898.62</v>
      </c>
      <c r="N171" s="7">
        <v>0</v>
      </c>
      <c r="O171" s="16">
        <f t="shared" si="12"/>
        <v>6290.34</v>
      </c>
      <c r="P171" s="18">
        <f t="shared" si="13"/>
        <v>0</v>
      </c>
      <c r="Q171" s="18">
        <f t="shared" si="14"/>
        <v>6290.34</v>
      </c>
      <c r="R171" s="14" t="str">
        <f t="shared" si="15"/>
        <v>High Sell</v>
      </c>
      <c r="S171" s="8" t="str">
        <f t="shared" si="16"/>
        <v>High</v>
      </c>
      <c r="T171" s="8" t="str">
        <f t="shared" si="17"/>
        <v>High</v>
      </c>
      <c r="U171" s="8"/>
    </row>
    <row r="172" spans="1:21" ht="14.25" customHeight="1">
      <c r="A172" s="1">
        <v>10186</v>
      </c>
      <c r="B172" s="1">
        <v>1794</v>
      </c>
      <c r="C172" s="2">
        <v>45251</v>
      </c>
      <c r="D172" s="2">
        <v>45254</v>
      </c>
      <c r="E172" s="1" t="s">
        <v>36</v>
      </c>
      <c r="F172" s="1" t="s">
        <v>40</v>
      </c>
      <c r="G172" s="1" t="s">
        <v>29</v>
      </c>
      <c r="H172" s="1" t="s">
        <v>24</v>
      </c>
      <c r="I172" s="1" t="s">
        <v>51</v>
      </c>
      <c r="J172" s="1" t="s">
        <v>55</v>
      </c>
      <c r="K172" s="1" t="s">
        <v>46</v>
      </c>
      <c r="L172" s="1">
        <v>1</v>
      </c>
      <c r="M172" s="1">
        <v>508.81</v>
      </c>
      <c r="N172" s="7">
        <v>0</v>
      </c>
      <c r="O172" s="16">
        <f t="shared" si="12"/>
        <v>508.81</v>
      </c>
      <c r="P172" s="18">
        <f t="shared" si="13"/>
        <v>0</v>
      </c>
      <c r="Q172" s="18">
        <f t="shared" si="14"/>
        <v>508.81</v>
      </c>
      <c r="R172" s="14" t="str">
        <f t="shared" si="15"/>
        <v>Low Sell</v>
      </c>
      <c r="S172" s="8" t="str">
        <f t="shared" si="16"/>
        <v>Low</v>
      </c>
      <c r="T172" s="8" t="str">
        <f t="shared" si="17"/>
        <v>Low</v>
      </c>
      <c r="U172" s="8"/>
    </row>
    <row r="173" spans="1:21" ht="14.25" customHeight="1">
      <c r="A173" s="1">
        <v>10187</v>
      </c>
      <c r="B173" s="1">
        <v>1392</v>
      </c>
      <c r="C173" s="2">
        <v>44987</v>
      </c>
      <c r="D173" s="2">
        <v>44991</v>
      </c>
      <c r="E173" s="1" t="s">
        <v>15</v>
      </c>
      <c r="F173" s="1" t="s">
        <v>40</v>
      </c>
      <c r="G173" s="1" t="s">
        <v>16</v>
      </c>
      <c r="H173" s="1" t="s">
        <v>43</v>
      </c>
      <c r="I173" s="1" t="s">
        <v>18</v>
      </c>
      <c r="J173" s="1" t="s">
        <v>42</v>
      </c>
      <c r="K173" s="1" t="s">
        <v>32</v>
      </c>
      <c r="L173" s="1">
        <v>1</v>
      </c>
      <c r="M173" s="1">
        <v>1730.41</v>
      </c>
      <c r="N173" s="7">
        <v>10</v>
      </c>
      <c r="O173" s="16">
        <f t="shared" si="12"/>
        <v>1730.41</v>
      </c>
      <c r="P173" s="18">
        <f t="shared" si="13"/>
        <v>173.04100000000003</v>
      </c>
      <c r="Q173" s="18">
        <f t="shared" si="14"/>
        <v>1557.3690000000001</v>
      </c>
      <c r="R173" s="14" t="str">
        <f t="shared" si="15"/>
        <v>Low Sell</v>
      </c>
      <c r="S173" s="8" t="str">
        <f t="shared" si="16"/>
        <v>Low</v>
      </c>
      <c r="T173" s="8" t="str">
        <f t="shared" si="17"/>
        <v>Low</v>
      </c>
      <c r="U173" s="8"/>
    </row>
    <row r="174" spans="1:21" ht="14.25" customHeight="1">
      <c r="A174" s="1">
        <v>10188</v>
      </c>
      <c r="B174" s="1">
        <v>1206</v>
      </c>
      <c r="C174" s="2">
        <v>45064</v>
      </c>
      <c r="D174" s="2">
        <v>45070</v>
      </c>
      <c r="E174" s="1" t="s">
        <v>39</v>
      </c>
      <c r="F174" s="1" t="s">
        <v>53</v>
      </c>
      <c r="G174" s="1" t="s">
        <v>16</v>
      </c>
      <c r="H174" s="1" t="s">
        <v>24</v>
      </c>
      <c r="I174" s="1" t="s">
        <v>51</v>
      </c>
      <c r="J174" s="1" t="s">
        <v>52</v>
      </c>
      <c r="K174" s="1" t="s">
        <v>20</v>
      </c>
      <c r="L174" s="1">
        <v>3</v>
      </c>
      <c r="M174" s="1">
        <v>778.85</v>
      </c>
      <c r="N174" s="7">
        <v>10</v>
      </c>
      <c r="O174" s="16">
        <f t="shared" si="12"/>
        <v>2336.5500000000002</v>
      </c>
      <c r="P174" s="18">
        <f t="shared" si="13"/>
        <v>233.65500000000003</v>
      </c>
      <c r="Q174" s="18">
        <f t="shared" si="14"/>
        <v>2102.895</v>
      </c>
      <c r="R174" s="14" t="str">
        <f t="shared" si="15"/>
        <v>Low Sell</v>
      </c>
      <c r="S174" s="8" t="str">
        <f t="shared" si="16"/>
        <v>Low</v>
      </c>
      <c r="T174" s="8" t="str">
        <f t="shared" si="17"/>
        <v>Low</v>
      </c>
      <c r="U174" s="8"/>
    </row>
    <row r="175" spans="1:21" ht="14.25" customHeight="1">
      <c r="A175" s="1">
        <v>10190</v>
      </c>
      <c r="B175" s="1">
        <v>1857</v>
      </c>
      <c r="C175" s="2">
        <v>45185</v>
      </c>
      <c r="D175" s="2">
        <v>45187</v>
      </c>
      <c r="E175" s="1" t="s">
        <v>33</v>
      </c>
      <c r="F175" s="1" t="s">
        <v>53</v>
      </c>
      <c r="G175" s="1" t="s">
        <v>29</v>
      </c>
      <c r="H175" s="1" t="s">
        <v>24</v>
      </c>
      <c r="I175" s="1" t="s">
        <v>48</v>
      </c>
      <c r="J175" s="1" t="s">
        <v>50</v>
      </c>
      <c r="K175" s="1" t="s">
        <v>20</v>
      </c>
      <c r="L175" s="1">
        <v>2</v>
      </c>
      <c r="M175" s="1">
        <v>1372.59</v>
      </c>
      <c r="N175" s="7">
        <v>5</v>
      </c>
      <c r="O175" s="16">
        <f t="shared" si="12"/>
        <v>2745.18</v>
      </c>
      <c r="P175" s="18">
        <f t="shared" si="13"/>
        <v>137.25899999999999</v>
      </c>
      <c r="Q175" s="18">
        <f t="shared" si="14"/>
        <v>2607.9209999999998</v>
      </c>
      <c r="R175" s="14" t="str">
        <f t="shared" si="15"/>
        <v>Low Sell</v>
      </c>
      <c r="S175" s="8" t="str">
        <f t="shared" si="16"/>
        <v>Low</v>
      </c>
      <c r="T175" s="8" t="str">
        <f t="shared" si="17"/>
        <v>Low</v>
      </c>
      <c r="U175" s="8"/>
    </row>
    <row r="176" spans="1:21" ht="14.25" customHeight="1">
      <c r="A176" s="1">
        <v>10191</v>
      </c>
      <c r="B176" s="1">
        <v>1553</v>
      </c>
      <c r="C176" s="2">
        <v>45033</v>
      </c>
      <c r="D176" s="2">
        <v>45039</v>
      </c>
      <c r="E176" s="1" t="s">
        <v>39</v>
      </c>
      <c r="F176" s="1" t="s">
        <v>28</v>
      </c>
      <c r="G176" s="1" t="s">
        <v>29</v>
      </c>
      <c r="H176" s="1" t="s">
        <v>34</v>
      </c>
      <c r="I176" s="1" t="s">
        <v>51</v>
      </c>
      <c r="J176" s="1" t="s">
        <v>55</v>
      </c>
      <c r="K176" s="1" t="s">
        <v>20</v>
      </c>
      <c r="L176" s="1">
        <v>7</v>
      </c>
      <c r="M176" s="1">
        <v>1148.6500000000001</v>
      </c>
      <c r="N176" s="7">
        <v>15</v>
      </c>
      <c r="O176" s="16">
        <f t="shared" si="12"/>
        <v>8040.5500000000011</v>
      </c>
      <c r="P176" s="18">
        <f t="shared" si="13"/>
        <v>1206.0825000000002</v>
      </c>
      <c r="Q176" s="18">
        <f t="shared" si="14"/>
        <v>6834.4675000000007</v>
      </c>
      <c r="R176" s="14" t="str">
        <f t="shared" si="15"/>
        <v>High Sell</v>
      </c>
      <c r="S176" s="8" t="str">
        <f t="shared" si="16"/>
        <v>High</v>
      </c>
      <c r="T176" s="8" t="str">
        <f t="shared" si="17"/>
        <v>High</v>
      </c>
      <c r="U176" s="8"/>
    </row>
    <row r="177" spans="1:21" ht="14.25" customHeight="1">
      <c r="A177" s="1">
        <v>10192</v>
      </c>
      <c r="B177" s="1">
        <v>1891</v>
      </c>
      <c r="C177" s="2">
        <v>45039</v>
      </c>
      <c r="D177" s="2">
        <v>45042</v>
      </c>
      <c r="E177" s="1" t="s">
        <v>14</v>
      </c>
      <c r="F177" s="1" t="s">
        <v>28</v>
      </c>
      <c r="G177" s="1" t="s">
        <v>29</v>
      </c>
      <c r="H177" s="1" t="s">
        <v>34</v>
      </c>
      <c r="I177" s="1" t="s">
        <v>51</v>
      </c>
      <c r="J177" s="1" t="s">
        <v>59</v>
      </c>
      <c r="K177" s="1" t="s">
        <v>20</v>
      </c>
      <c r="L177" s="1">
        <v>2</v>
      </c>
      <c r="M177" s="1">
        <v>487.23</v>
      </c>
      <c r="N177" s="7">
        <v>15</v>
      </c>
      <c r="O177" s="16">
        <f t="shared" si="12"/>
        <v>974.46</v>
      </c>
      <c r="P177" s="18">
        <f t="shared" si="13"/>
        <v>146.16900000000001</v>
      </c>
      <c r="Q177" s="18">
        <f t="shared" si="14"/>
        <v>828.29100000000005</v>
      </c>
      <c r="R177" s="14" t="str">
        <f t="shared" si="15"/>
        <v>Low Sell</v>
      </c>
      <c r="S177" s="8" t="str">
        <f t="shared" si="16"/>
        <v>Low</v>
      </c>
      <c r="T177" s="8" t="str">
        <f t="shared" si="17"/>
        <v>Low</v>
      </c>
      <c r="U177" s="8"/>
    </row>
    <row r="178" spans="1:21" ht="14.25" customHeight="1">
      <c r="A178" s="1">
        <v>10193</v>
      </c>
      <c r="B178" s="1">
        <v>1460</v>
      </c>
      <c r="C178" s="2">
        <v>45276</v>
      </c>
      <c r="D178" s="2">
        <v>45284</v>
      </c>
      <c r="E178" s="1" t="s">
        <v>45</v>
      </c>
      <c r="F178" s="1" t="s">
        <v>37</v>
      </c>
      <c r="G178" s="1" t="s">
        <v>29</v>
      </c>
      <c r="H178" s="1" t="s">
        <v>24</v>
      </c>
      <c r="I178" s="1" t="s">
        <v>48</v>
      </c>
      <c r="J178" s="1" t="s">
        <v>50</v>
      </c>
      <c r="K178" s="1" t="s">
        <v>32</v>
      </c>
      <c r="L178" s="1">
        <v>4</v>
      </c>
      <c r="M178" s="1">
        <v>496.18</v>
      </c>
      <c r="N178" s="7">
        <v>15</v>
      </c>
      <c r="O178" s="16">
        <f t="shared" si="12"/>
        <v>1984.72</v>
      </c>
      <c r="P178" s="18">
        <f t="shared" si="13"/>
        <v>297.70799999999997</v>
      </c>
      <c r="Q178" s="18">
        <f t="shared" si="14"/>
        <v>1687.0120000000002</v>
      </c>
      <c r="R178" s="14" t="str">
        <f t="shared" si="15"/>
        <v>Low Sell</v>
      </c>
      <c r="S178" s="8" t="str">
        <f t="shared" si="16"/>
        <v>Low</v>
      </c>
      <c r="T178" s="8" t="str">
        <f t="shared" si="17"/>
        <v>Low</v>
      </c>
      <c r="U178" s="8"/>
    </row>
    <row r="179" spans="1:21" ht="14.25" customHeight="1">
      <c r="A179" s="1">
        <v>10194</v>
      </c>
      <c r="B179" s="1">
        <v>1690</v>
      </c>
      <c r="C179" s="2">
        <v>45180</v>
      </c>
      <c r="D179" s="2">
        <v>45182</v>
      </c>
      <c r="E179" s="1" t="s">
        <v>33</v>
      </c>
      <c r="F179" s="1" t="s">
        <v>40</v>
      </c>
      <c r="G179" s="1" t="s">
        <v>23</v>
      </c>
      <c r="H179" s="1" t="s">
        <v>24</v>
      </c>
      <c r="I179" s="1" t="s">
        <v>56</v>
      </c>
      <c r="J179" s="1" t="s">
        <v>58</v>
      </c>
      <c r="K179" s="1" t="s">
        <v>44</v>
      </c>
      <c r="L179" s="1">
        <v>2</v>
      </c>
      <c r="M179" s="1">
        <v>894.01</v>
      </c>
      <c r="N179" s="7">
        <v>15</v>
      </c>
      <c r="O179" s="16">
        <f t="shared" si="12"/>
        <v>1788.02</v>
      </c>
      <c r="P179" s="18">
        <f t="shared" si="13"/>
        <v>268.20299999999997</v>
      </c>
      <c r="Q179" s="18">
        <f t="shared" si="14"/>
        <v>1519.817</v>
      </c>
      <c r="R179" s="14" t="str">
        <f t="shared" si="15"/>
        <v>Low Sell</v>
      </c>
      <c r="S179" s="8" t="str">
        <f t="shared" si="16"/>
        <v>Low</v>
      </c>
      <c r="T179" s="8" t="str">
        <f t="shared" si="17"/>
        <v>Low</v>
      </c>
      <c r="U179" s="8"/>
    </row>
    <row r="180" spans="1:21" ht="14.25" customHeight="1">
      <c r="A180" s="1">
        <v>10195</v>
      </c>
      <c r="B180" s="1">
        <v>1574</v>
      </c>
      <c r="C180" s="2">
        <v>45044</v>
      </c>
      <c r="D180" s="2">
        <v>45045</v>
      </c>
      <c r="E180" s="1" t="s">
        <v>33</v>
      </c>
      <c r="F180" s="1" t="s">
        <v>22</v>
      </c>
      <c r="G180" s="1" t="s">
        <v>16</v>
      </c>
      <c r="H180" s="1" t="s">
        <v>34</v>
      </c>
      <c r="I180" s="1" t="s">
        <v>30</v>
      </c>
      <c r="J180" s="1" t="s">
        <v>64</v>
      </c>
      <c r="K180" s="1" t="s">
        <v>46</v>
      </c>
      <c r="L180" s="1">
        <v>6</v>
      </c>
      <c r="M180" s="1">
        <v>344.65</v>
      </c>
      <c r="N180" s="7">
        <v>10</v>
      </c>
      <c r="O180" s="16">
        <f t="shared" si="12"/>
        <v>2067.8999999999996</v>
      </c>
      <c r="P180" s="18">
        <f t="shared" si="13"/>
        <v>206.78999999999996</v>
      </c>
      <c r="Q180" s="18">
        <f t="shared" si="14"/>
        <v>1861.1099999999997</v>
      </c>
      <c r="R180" s="14" t="str">
        <f t="shared" si="15"/>
        <v>High Sell</v>
      </c>
      <c r="S180" s="8" t="str">
        <f t="shared" si="16"/>
        <v>High</v>
      </c>
      <c r="T180" s="8" t="str">
        <f t="shared" si="17"/>
        <v>High</v>
      </c>
      <c r="U180" s="8"/>
    </row>
    <row r="181" spans="1:21" ht="14.25" customHeight="1">
      <c r="A181" s="1">
        <v>10196</v>
      </c>
      <c r="B181" s="1">
        <v>1863</v>
      </c>
      <c r="C181" s="2">
        <v>45124</v>
      </c>
      <c r="D181" s="2">
        <v>45133</v>
      </c>
      <c r="E181" s="1" t="s">
        <v>36</v>
      </c>
      <c r="F181" s="1" t="s">
        <v>28</v>
      </c>
      <c r="G181" s="1" t="s">
        <v>29</v>
      </c>
      <c r="H181" s="1" t="s">
        <v>43</v>
      </c>
      <c r="I181" s="1" t="s">
        <v>51</v>
      </c>
      <c r="J181" s="1" t="s">
        <v>52</v>
      </c>
      <c r="K181" s="1" t="s">
        <v>20</v>
      </c>
      <c r="L181" s="1">
        <v>8</v>
      </c>
      <c r="M181" s="1">
        <v>2561.86</v>
      </c>
      <c r="N181" s="7">
        <v>0</v>
      </c>
      <c r="O181" s="16">
        <f t="shared" si="12"/>
        <v>20494.88</v>
      </c>
      <c r="P181" s="18">
        <f t="shared" si="13"/>
        <v>0</v>
      </c>
      <c r="Q181" s="18">
        <f t="shared" si="14"/>
        <v>20494.88</v>
      </c>
      <c r="R181" s="14" t="str">
        <f t="shared" si="15"/>
        <v>High Sell</v>
      </c>
      <c r="S181" s="8" t="str">
        <f t="shared" si="16"/>
        <v>High</v>
      </c>
      <c r="T181" s="8" t="str">
        <f t="shared" si="17"/>
        <v>High</v>
      </c>
      <c r="U181" s="8"/>
    </row>
    <row r="182" spans="1:21" ht="14.25" customHeight="1">
      <c r="A182" s="1">
        <v>10197</v>
      </c>
      <c r="B182" s="1">
        <v>1742</v>
      </c>
      <c r="C182" s="2">
        <v>45263</v>
      </c>
      <c r="D182" s="2">
        <v>45266</v>
      </c>
      <c r="E182" s="1" t="s">
        <v>15</v>
      </c>
      <c r="F182" s="1" t="s">
        <v>37</v>
      </c>
      <c r="G182" s="1" t="s">
        <v>16</v>
      </c>
      <c r="H182" s="1" t="s">
        <v>34</v>
      </c>
      <c r="I182" s="1" t="s">
        <v>48</v>
      </c>
      <c r="J182" s="1" t="s">
        <v>66</v>
      </c>
      <c r="K182" s="1" t="s">
        <v>44</v>
      </c>
      <c r="L182" s="1">
        <v>4</v>
      </c>
      <c r="M182" s="1">
        <v>1256.21</v>
      </c>
      <c r="N182" s="7">
        <v>10</v>
      </c>
      <c r="O182" s="16">
        <f t="shared" si="12"/>
        <v>5024.84</v>
      </c>
      <c r="P182" s="18">
        <f t="shared" si="13"/>
        <v>502.48400000000004</v>
      </c>
      <c r="Q182" s="18">
        <f t="shared" si="14"/>
        <v>4522.3559999999998</v>
      </c>
      <c r="R182" s="14" t="str">
        <f t="shared" si="15"/>
        <v>Low Sell</v>
      </c>
      <c r="S182" s="8" t="str">
        <f t="shared" si="16"/>
        <v>Low</v>
      </c>
      <c r="T182" s="8" t="str">
        <f t="shared" si="17"/>
        <v>Low</v>
      </c>
      <c r="U182" s="8"/>
    </row>
    <row r="183" spans="1:21" ht="14.25" customHeight="1">
      <c r="A183" s="1">
        <v>10198</v>
      </c>
      <c r="B183" s="1">
        <v>1240</v>
      </c>
      <c r="C183" s="2">
        <v>45291</v>
      </c>
      <c r="D183" s="2">
        <v>45292</v>
      </c>
      <c r="E183" s="1" t="s">
        <v>33</v>
      </c>
      <c r="F183" s="1" t="s">
        <v>40</v>
      </c>
      <c r="G183" s="1" t="s">
        <v>16</v>
      </c>
      <c r="H183" s="1" t="s">
        <v>41</v>
      </c>
      <c r="I183" s="1" t="s">
        <v>18</v>
      </c>
      <c r="J183" s="1" t="s">
        <v>68</v>
      </c>
      <c r="K183" s="1" t="s">
        <v>44</v>
      </c>
      <c r="L183" s="1">
        <v>5</v>
      </c>
      <c r="M183" s="1">
        <v>1227.02</v>
      </c>
      <c r="N183" s="7">
        <v>15</v>
      </c>
      <c r="O183" s="16">
        <f t="shared" si="12"/>
        <v>6135.1</v>
      </c>
      <c r="P183" s="18">
        <f t="shared" si="13"/>
        <v>920.26499999999999</v>
      </c>
      <c r="Q183" s="18">
        <f t="shared" si="14"/>
        <v>5214.835</v>
      </c>
      <c r="R183" s="14" t="str">
        <f t="shared" si="15"/>
        <v>High Sell</v>
      </c>
      <c r="S183" s="8" t="str">
        <f t="shared" si="16"/>
        <v>Medium</v>
      </c>
      <c r="T183" s="8" t="str">
        <f t="shared" si="17"/>
        <v>Medium</v>
      </c>
      <c r="U183" s="8"/>
    </row>
    <row r="184" spans="1:21" ht="14.25" customHeight="1">
      <c r="A184" s="1">
        <v>10199</v>
      </c>
      <c r="B184" s="1">
        <v>1563</v>
      </c>
      <c r="C184" s="2">
        <v>44977</v>
      </c>
      <c r="D184" s="2">
        <v>44984</v>
      </c>
      <c r="E184" s="1" t="s">
        <v>33</v>
      </c>
      <c r="F184" s="1" t="s">
        <v>22</v>
      </c>
      <c r="G184" s="1" t="s">
        <v>23</v>
      </c>
      <c r="H184" s="1" t="s">
        <v>34</v>
      </c>
      <c r="I184" s="1" t="s">
        <v>48</v>
      </c>
      <c r="J184" s="1" t="s">
        <v>50</v>
      </c>
      <c r="K184" s="1" t="s">
        <v>46</v>
      </c>
      <c r="L184" s="1">
        <v>4</v>
      </c>
      <c r="M184" s="1">
        <v>1428.19</v>
      </c>
      <c r="N184" s="7">
        <v>10</v>
      </c>
      <c r="O184" s="16">
        <f t="shared" si="12"/>
        <v>5712.76</v>
      </c>
      <c r="P184" s="18">
        <f t="shared" si="13"/>
        <v>571.27600000000007</v>
      </c>
      <c r="Q184" s="18">
        <f t="shared" si="14"/>
        <v>5141.4840000000004</v>
      </c>
      <c r="R184" s="14" t="str">
        <f t="shared" si="15"/>
        <v>Low Sell</v>
      </c>
      <c r="S184" s="8" t="str">
        <f t="shared" si="16"/>
        <v>Low</v>
      </c>
      <c r="T184" s="8" t="str">
        <f t="shared" si="17"/>
        <v>Low</v>
      </c>
      <c r="U184" s="8"/>
    </row>
    <row r="185" spans="1:21" ht="14.25" customHeight="1">
      <c r="A185" s="1">
        <v>10200</v>
      </c>
      <c r="B185" s="1">
        <v>1095</v>
      </c>
      <c r="C185" s="2">
        <v>45171</v>
      </c>
      <c r="D185" s="2">
        <v>45176</v>
      </c>
      <c r="E185" s="1" t="s">
        <v>14</v>
      </c>
      <c r="F185" s="1" t="s">
        <v>28</v>
      </c>
      <c r="G185" s="1" t="s">
        <v>29</v>
      </c>
      <c r="H185" s="1" t="s">
        <v>43</v>
      </c>
      <c r="I185" s="1" t="s">
        <v>18</v>
      </c>
      <c r="J185" s="1" t="s">
        <v>68</v>
      </c>
      <c r="K185" s="1" t="s">
        <v>32</v>
      </c>
      <c r="L185" s="1">
        <v>3</v>
      </c>
      <c r="M185" s="1">
        <v>2701.77</v>
      </c>
      <c r="N185" s="7">
        <v>15</v>
      </c>
      <c r="O185" s="16">
        <f t="shared" si="12"/>
        <v>8105.3099999999995</v>
      </c>
      <c r="P185" s="18">
        <f t="shared" si="13"/>
        <v>1215.7964999999999</v>
      </c>
      <c r="Q185" s="18">
        <f t="shared" si="14"/>
        <v>6889.5134999999991</v>
      </c>
      <c r="R185" s="14" t="str">
        <f t="shared" si="15"/>
        <v>Low Sell</v>
      </c>
      <c r="S185" s="8" t="str">
        <f t="shared" si="16"/>
        <v>Low</v>
      </c>
      <c r="T185" s="8" t="str">
        <f t="shared" si="17"/>
        <v>Low</v>
      </c>
      <c r="U185" s="8"/>
    </row>
    <row r="186" spans="1:21" ht="14.25" customHeight="1">
      <c r="A186" s="1">
        <v>10201</v>
      </c>
      <c r="B186" s="1">
        <v>1899</v>
      </c>
      <c r="C186" s="2">
        <v>44961</v>
      </c>
      <c r="D186" s="2">
        <v>44966</v>
      </c>
      <c r="E186" s="1" t="s">
        <v>14</v>
      </c>
      <c r="F186" s="1" t="s">
        <v>28</v>
      </c>
      <c r="G186" s="1" t="s">
        <v>29</v>
      </c>
      <c r="H186" s="1" t="s">
        <v>41</v>
      </c>
      <c r="I186" s="1" t="s">
        <v>56</v>
      </c>
      <c r="J186" s="1" t="s">
        <v>58</v>
      </c>
      <c r="K186" s="1" t="s">
        <v>27</v>
      </c>
      <c r="L186" s="1">
        <v>5</v>
      </c>
      <c r="M186" s="1">
        <v>3501.94</v>
      </c>
      <c r="N186" s="7">
        <v>20</v>
      </c>
      <c r="O186" s="16">
        <f t="shared" si="12"/>
        <v>17509.7</v>
      </c>
      <c r="P186" s="18">
        <f t="shared" si="13"/>
        <v>3501.9400000000005</v>
      </c>
      <c r="Q186" s="18">
        <f t="shared" si="14"/>
        <v>14007.76</v>
      </c>
      <c r="R186" s="14" t="str">
        <f t="shared" si="15"/>
        <v>High Sell</v>
      </c>
      <c r="S186" s="8" t="str">
        <f t="shared" si="16"/>
        <v>Medium</v>
      </c>
      <c r="T186" s="8" t="str">
        <f t="shared" si="17"/>
        <v>Medium</v>
      </c>
      <c r="U186" s="8"/>
    </row>
    <row r="187" spans="1:21" ht="14.25" customHeight="1">
      <c r="A187" s="1">
        <v>10202</v>
      </c>
      <c r="B187" s="1">
        <v>1733</v>
      </c>
      <c r="C187" s="2">
        <v>45228</v>
      </c>
      <c r="D187" s="2">
        <v>45229</v>
      </c>
      <c r="E187" s="1" t="s">
        <v>39</v>
      </c>
      <c r="F187" s="1" t="s">
        <v>53</v>
      </c>
      <c r="G187" s="1" t="s">
        <v>16</v>
      </c>
      <c r="H187" s="1" t="s">
        <v>17</v>
      </c>
      <c r="I187" s="1" t="s">
        <v>30</v>
      </c>
      <c r="J187" s="1" t="s">
        <v>64</v>
      </c>
      <c r="K187" s="1" t="s">
        <v>27</v>
      </c>
      <c r="L187" s="1">
        <v>9</v>
      </c>
      <c r="M187" s="1">
        <v>3072.48</v>
      </c>
      <c r="N187" s="7">
        <v>0</v>
      </c>
      <c r="O187" s="16">
        <f t="shared" si="12"/>
        <v>27652.32</v>
      </c>
      <c r="P187" s="18">
        <f t="shared" si="13"/>
        <v>0</v>
      </c>
      <c r="Q187" s="18">
        <f t="shared" si="14"/>
        <v>27652.32</v>
      </c>
      <c r="R187" s="14" t="str">
        <f t="shared" si="15"/>
        <v>High Sell</v>
      </c>
      <c r="S187" s="8" t="str">
        <f t="shared" si="16"/>
        <v>High</v>
      </c>
      <c r="T187" s="8" t="str">
        <f t="shared" si="17"/>
        <v>High</v>
      </c>
      <c r="U187" s="8"/>
    </row>
    <row r="188" spans="1:21" ht="14.25" customHeight="1">
      <c r="A188" s="1">
        <v>10207</v>
      </c>
      <c r="B188" s="1">
        <v>1654</v>
      </c>
      <c r="C188" s="2">
        <v>45000</v>
      </c>
      <c r="D188" s="2">
        <v>45006</v>
      </c>
      <c r="E188" s="1" t="s">
        <v>36</v>
      </c>
      <c r="F188" s="1" t="s">
        <v>40</v>
      </c>
      <c r="G188" s="1" t="s">
        <v>23</v>
      </c>
      <c r="H188" s="1" t="s">
        <v>43</v>
      </c>
      <c r="I188" s="1" t="s">
        <v>48</v>
      </c>
      <c r="J188" s="1" t="s">
        <v>50</v>
      </c>
      <c r="K188" s="1" t="s">
        <v>32</v>
      </c>
      <c r="L188" s="1">
        <v>7</v>
      </c>
      <c r="M188" s="1">
        <v>982.56</v>
      </c>
      <c r="N188" s="7">
        <v>10</v>
      </c>
      <c r="O188" s="16">
        <f t="shared" si="12"/>
        <v>6877.92</v>
      </c>
      <c r="P188" s="18">
        <f t="shared" si="13"/>
        <v>687.79200000000003</v>
      </c>
      <c r="Q188" s="18">
        <f t="shared" si="14"/>
        <v>6190.1279999999997</v>
      </c>
      <c r="R188" s="14" t="str">
        <f t="shared" si="15"/>
        <v>High Sell</v>
      </c>
      <c r="S188" s="8" t="str">
        <f t="shared" si="16"/>
        <v>High</v>
      </c>
      <c r="T188" s="8" t="str">
        <f t="shared" si="17"/>
        <v>High</v>
      </c>
      <c r="U188" s="8"/>
    </row>
    <row r="189" spans="1:21" ht="14.25" customHeight="1">
      <c r="A189" s="1">
        <v>10208</v>
      </c>
      <c r="B189" s="1">
        <v>1170</v>
      </c>
      <c r="C189" s="2">
        <v>45118</v>
      </c>
      <c r="D189" s="2">
        <v>45123</v>
      </c>
      <c r="E189" s="1" t="s">
        <v>45</v>
      </c>
      <c r="F189" s="1" t="s">
        <v>40</v>
      </c>
      <c r="G189" s="1" t="s">
        <v>23</v>
      </c>
      <c r="H189" s="1" t="s">
        <v>41</v>
      </c>
      <c r="I189" s="1" t="s">
        <v>51</v>
      </c>
      <c r="J189" s="1" t="s">
        <v>52</v>
      </c>
      <c r="K189" s="1" t="s">
        <v>27</v>
      </c>
      <c r="L189" s="1">
        <v>8</v>
      </c>
      <c r="M189" s="1">
        <v>953.07</v>
      </c>
      <c r="N189" s="7">
        <v>20</v>
      </c>
      <c r="O189" s="16">
        <f t="shared" si="12"/>
        <v>7624.56</v>
      </c>
      <c r="P189" s="18">
        <f t="shared" si="13"/>
        <v>1524.9120000000003</v>
      </c>
      <c r="Q189" s="18">
        <f t="shared" si="14"/>
        <v>6099.6480000000001</v>
      </c>
      <c r="R189" s="14" t="str">
        <f t="shared" si="15"/>
        <v>High Sell</v>
      </c>
      <c r="S189" s="8" t="str">
        <f t="shared" si="16"/>
        <v>High</v>
      </c>
      <c r="T189" s="8" t="str">
        <f t="shared" si="17"/>
        <v>High</v>
      </c>
      <c r="U189" s="8"/>
    </row>
    <row r="190" spans="1:21" ht="14.25" customHeight="1">
      <c r="A190" s="1">
        <v>10209</v>
      </c>
      <c r="B190" s="1">
        <v>1540</v>
      </c>
      <c r="C190" s="2">
        <v>45187</v>
      </c>
      <c r="D190" s="2">
        <v>45193</v>
      </c>
      <c r="E190" s="1" t="s">
        <v>39</v>
      </c>
      <c r="F190" s="1" t="s">
        <v>15</v>
      </c>
      <c r="G190" s="1" t="s">
        <v>16</v>
      </c>
      <c r="H190" s="1" t="s">
        <v>41</v>
      </c>
      <c r="I190" s="1" t="s">
        <v>48</v>
      </c>
      <c r="J190" s="1" t="s">
        <v>49</v>
      </c>
      <c r="K190" s="1" t="s">
        <v>44</v>
      </c>
      <c r="L190" s="1">
        <v>8</v>
      </c>
      <c r="M190" s="1">
        <v>1291.1099999999999</v>
      </c>
      <c r="N190" s="7">
        <v>15</v>
      </c>
      <c r="O190" s="16">
        <f t="shared" si="12"/>
        <v>10328.879999999999</v>
      </c>
      <c r="P190" s="18">
        <f t="shared" si="13"/>
        <v>1549.3319999999999</v>
      </c>
      <c r="Q190" s="18">
        <f t="shared" si="14"/>
        <v>8779.5479999999989</v>
      </c>
      <c r="R190" s="14" t="str">
        <f t="shared" si="15"/>
        <v>High Sell</v>
      </c>
      <c r="S190" s="8" t="str">
        <f t="shared" si="16"/>
        <v>High</v>
      </c>
      <c r="T190" s="8" t="str">
        <f t="shared" si="17"/>
        <v>High</v>
      </c>
      <c r="U190" s="8"/>
    </row>
    <row r="191" spans="1:21" ht="14.25" customHeight="1">
      <c r="A191" s="1">
        <v>10210</v>
      </c>
      <c r="B191" s="1">
        <v>1035</v>
      </c>
      <c r="C191" s="2">
        <v>45282</v>
      </c>
      <c r="D191" s="2">
        <v>45284</v>
      </c>
      <c r="E191" s="1" t="s">
        <v>14</v>
      </c>
      <c r="F191" s="1" t="s">
        <v>53</v>
      </c>
      <c r="G191" s="1" t="s">
        <v>29</v>
      </c>
      <c r="H191" s="1" t="s">
        <v>17</v>
      </c>
      <c r="I191" s="1" t="s">
        <v>18</v>
      </c>
      <c r="J191" s="1" t="s">
        <v>19</v>
      </c>
      <c r="K191" s="1" t="s">
        <v>44</v>
      </c>
      <c r="L191" s="1">
        <v>8</v>
      </c>
      <c r="M191" s="1">
        <v>3656.59</v>
      </c>
      <c r="N191" s="7">
        <v>15</v>
      </c>
      <c r="O191" s="16">
        <f t="shared" si="12"/>
        <v>29252.720000000001</v>
      </c>
      <c r="P191" s="18">
        <f t="shared" si="13"/>
        <v>4387.9080000000004</v>
      </c>
      <c r="Q191" s="18">
        <f t="shared" si="14"/>
        <v>24864.812000000002</v>
      </c>
      <c r="R191" s="14" t="str">
        <f t="shared" si="15"/>
        <v>High Sell</v>
      </c>
      <c r="S191" s="8" t="str">
        <f t="shared" si="16"/>
        <v>High</v>
      </c>
      <c r="T191" s="8" t="str">
        <f t="shared" si="17"/>
        <v>High</v>
      </c>
      <c r="U191" s="8"/>
    </row>
    <row r="192" spans="1:21" ht="14.25" customHeight="1">
      <c r="A192" s="1">
        <v>10211</v>
      </c>
      <c r="B192" s="1">
        <v>1524</v>
      </c>
      <c r="C192" s="2">
        <v>44996</v>
      </c>
      <c r="D192" s="2">
        <v>45000</v>
      </c>
      <c r="E192" s="1" t="s">
        <v>21</v>
      </c>
      <c r="F192" s="1" t="s">
        <v>22</v>
      </c>
      <c r="G192" s="1" t="s">
        <v>23</v>
      </c>
      <c r="H192" s="1" t="s">
        <v>41</v>
      </c>
      <c r="I192" s="1" t="s">
        <v>48</v>
      </c>
      <c r="J192" s="1" t="s">
        <v>50</v>
      </c>
      <c r="K192" s="1" t="s">
        <v>20</v>
      </c>
      <c r="L192" s="1">
        <v>7</v>
      </c>
      <c r="M192" s="1">
        <v>2257.5500000000002</v>
      </c>
      <c r="N192" s="7">
        <v>10</v>
      </c>
      <c r="O192" s="16">
        <f t="shared" si="12"/>
        <v>15802.850000000002</v>
      </c>
      <c r="P192" s="18">
        <f t="shared" si="13"/>
        <v>1580.2850000000003</v>
      </c>
      <c r="Q192" s="18">
        <f t="shared" si="14"/>
        <v>14222.565000000002</v>
      </c>
      <c r="R192" s="14" t="str">
        <f t="shared" si="15"/>
        <v>High Sell</v>
      </c>
      <c r="S192" s="8" t="str">
        <f t="shared" si="16"/>
        <v>High</v>
      </c>
      <c r="T192" s="8" t="str">
        <f t="shared" si="17"/>
        <v>High</v>
      </c>
      <c r="U192" s="8"/>
    </row>
    <row r="193" spans="1:21" ht="14.25" customHeight="1">
      <c r="A193" s="1">
        <v>10212</v>
      </c>
      <c r="B193" s="1">
        <v>1159</v>
      </c>
      <c r="C193" s="2">
        <v>45016</v>
      </c>
      <c r="D193" s="2">
        <v>45019</v>
      </c>
      <c r="E193" s="1" t="s">
        <v>15</v>
      </c>
      <c r="F193" s="1" t="s">
        <v>28</v>
      </c>
      <c r="G193" s="1" t="s">
        <v>29</v>
      </c>
      <c r="H193" s="1" t="s">
        <v>43</v>
      </c>
      <c r="I193" s="1" t="s">
        <v>25</v>
      </c>
      <c r="J193" s="1" t="s">
        <v>60</v>
      </c>
      <c r="K193" s="1" t="s">
        <v>32</v>
      </c>
      <c r="L193" s="1">
        <v>1</v>
      </c>
      <c r="M193" s="1">
        <v>2975.54</v>
      </c>
      <c r="N193" s="7">
        <v>15</v>
      </c>
      <c r="O193" s="16">
        <f t="shared" si="12"/>
        <v>2975.54</v>
      </c>
      <c r="P193" s="18">
        <f t="shared" si="13"/>
        <v>446.33099999999996</v>
      </c>
      <c r="Q193" s="18">
        <f t="shared" si="14"/>
        <v>2529.2089999999998</v>
      </c>
      <c r="R193" s="14" t="str">
        <f t="shared" si="15"/>
        <v>Low Sell</v>
      </c>
      <c r="S193" s="8" t="str">
        <f t="shared" si="16"/>
        <v>Low</v>
      </c>
      <c r="T193" s="8" t="str">
        <f t="shared" si="17"/>
        <v>Low</v>
      </c>
      <c r="U193" s="8"/>
    </row>
    <row r="194" spans="1:21" ht="14.25" customHeight="1">
      <c r="A194" s="1">
        <v>10214</v>
      </c>
      <c r="B194" s="1">
        <v>1698</v>
      </c>
      <c r="C194" s="2">
        <v>45052</v>
      </c>
      <c r="D194" s="2">
        <v>45061</v>
      </c>
      <c r="E194" s="1" t="s">
        <v>36</v>
      </c>
      <c r="F194" s="1" t="s">
        <v>28</v>
      </c>
      <c r="G194" s="1" t="s">
        <v>23</v>
      </c>
      <c r="H194" s="1" t="s">
        <v>43</v>
      </c>
      <c r="I194" s="1" t="s">
        <v>48</v>
      </c>
      <c r="J194" s="1" t="s">
        <v>62</v>
      </c>
      <c r="K194" s="1" t="s">
        <v>46</v>
      </c>
      <c r="L194" s="1">
        <v>4</v>
      </c>
      <c r="M194" s="1">
        <v>1719.71</v>
      </c>
      <c r="N194" s="7">
        <v>15</v>
      </c>
      <c r="O194" s="16">
        <f t="shared" si="12"/>
        <v>6878.84</v>
      </c>
      <c r="P194" s="18">
        <f t="shared" si="13"/>
        <v>1031.826</v>
      </c>
      <c r="Q194" s="18">
        <f t="shared" si="14"/>
        <v>5847.0140000000001</v>
      </c>
      <c r="R194" s="14" t="str">
        <f t="shared" si="15"/>
        <v>Low Sell</v>
      </c>
      <c r="S194" s="8" t="str">
        <f t="shared" si="16"/>
        <v>Low</v>
      </c>
      <c r="T194" s="8" t="str">
        <f t="shared" si="17"/>
        <v>Low</v>
      </c>
      <c r="U194" s="8"/>
    </row>
    <row r="195" spans="1:21" ht="14.25" customHeight="1">
      <c r="A195" s="1">
        <v>10215</v>
      </c>
      <c r="B195" s="1">
        <v>1242</v>
      </c>
      <c r="C195" s="2">
        <v>45157</v>
      </c>
      <c r="D195" s="2">
        <v>45162</v>
      </c>
      <c r="E195" s="1" t="s">
        <v>14</v>
      </c>
      <c r="F195" s="1" t="s">
        <v>15</v>
      </c>
      <c r="G195" s="1" t="s">
        <v>16</v>
      </c>
      <c r="H195" s="1" t="s">
        <v>24</v>
      </c>
      <c r="I195" s="1" t="s">
        <v>25</v>
      </c>
      <c r="J195" s="1" t="s">
        <v>26</v>
      </c>
      <c r="K195" s="1" t="s">
        <v>20</v>
      </c>
      <c r="L195" s="1">
        <v>5</v>
      </c>
      <c r="M195" s="1">
        <v>633.42999999999995</v>
      </c>
      <c r="N195" s="7">
        <v>20</v>
      </c>
      <c r="O195" s="16">
        <f t="shared" ref="O195:O258" si="18">L195*M195</f>
        <v>3167.1499999999996</v>
      </c>
      <c r="P195" s="18">
        <f t="shared" ref="P195:P258" si="19">O195*N195%</f>
        <v>633.42999999999995</v>
      </c>
      <c r="Q195" s="18">
        <f t="shared" ref="Q195:Q258" si="20">O195-P195</f>
        <v>2533.7199999999998</v>
      </c>
      <c r="R195" s="14" t="str">
        <f t="shared" ref="R195:R258" si="21">IF(L195&gt;=5, "High Sell", "Low Sell")</f>
        <v>High Sell</v>
      </c>
      <c r="S195" s="8" t="str">
        <f t="shared" ref="S195:S258" si="22">_xlfn.IFS(L195&lt;5, "Low", L195=5, "Medium", L195&gt;5, "High")</f>
        <v>Medium</v>
      </c>
      <c r="T195" s="8" t="str">
        <f t="shared" ref="T195:T258" si="23">IF(L195&gt;5,"High",(IF(L195=5,"Medium","Low")))</f>
        <v>Medium</v>
      </c>
      <c r="U195" s="8"/>
    </row>
    <row r="196" spans="1:21" ht="14.25" customHeight="1">
      <c r="A196" s="1">
        <v>10216</v>
      </c>
      <c r="B196" s="1">
        <v>1085</v>
      </c>
      <c r="C196" s="2">
        <v>45221</v>
      </c>
      <c r="D196" s="2">
        <v>45227</v>
      </c>
      <c r="E196" s="1" t="s">
        <v>36</v>
      </c>
      <c r="F196" s="1" t="s">
        <v>22</v>
      </c>
      <c r="G196" s="1" t="s">
        <v>23</v>
      </c>
      <c r="H196" s="1" t="s">
        <v>17</v>
      </c>
      <c r="I196" s="1" t="s">
        <v>56</v>
      </c>
      <c r="J196" s="1" t="s">
        <v>65</v>
      </c>
      <c r="K196" s="1" t="s">
        <v>20</v>
      </c>
      <c r="L196" s="1">
        <v>6</v>
      </c>
      <c r="M196" s="1">
        <v>809.49</v>
      </c>
      <c r="N196" s="7">
        <v>5</v>
      </c>
      <c r="O196" s="16">
        <f t="shared" si="18"/>
        <v>4856.9400000000005</v>
      </c>
      <c r="P196" s="18">
        <f t="shared" si="19"/>
        <v>242.84700000000004</v>
      </c>
      <c r="Q196" s="18">
        <f t="shared" si="20"/>
        <v>4614.0930000000008</v>
      </c>
      <c r="R196" s="14" t="str">
        <f t="shared" si="21"/>
        <v>High Sell</v>
      </c>
      <c r="S196" s="8" t="str">
        <f t="shared" si="22"/>
        <v>High</v>
      </c>
      <c r="T196" s="8" t="str">
        <f t="shared" si="23"/>
        <v>High</v>
      </c>
      <c r="U196" s="8"/>
    </row>
    <row r="197" spans="1:21" ht="14.25" customHeight="1">
      <c r="A197" s="1">
        <v>10217</v>
      </c>
      <c r="B197" s="1">
        <v>1795</v>
      </c>
      <c r="C197" s="2">
        <v>45055</v>
      </c>
      <c r="D197" s="2">
        <v>45057</v>
      </c>
      <c r="E197" s="1" t="s">
        <v>36</v>
      </c>
      <c r="F197" s="1" t="s">
        <v>40</v>
      </c>
      <c r="G197" s="1" t="s">
        <v>23</v>
      </c>
      <c r="H197" s="1" t="s">
        <v>41</v>
      </c>
      <c r="I197" s="1" t="s">
        <v>48</v>
      </c>
      <c r="J197" s="1" t="s">
        <v>49</v>
      </c>
      <c r="K197" s="1" t="s">
        <v>27</v>
      </c>
      <c r="L197" s="1">
        <v>4</v>
      </c>
      <c r="M197" s="1">
        <v>3335.32</v>
      </c>
      <c r="N197" s="7">
        <v>20</v>
      </c>
      <c r="O197" s="16">
        <f t="shared" si="18"/>
        <v>13341.28</v>
      </c>
      <c r="P197" s="18">
        <f t="shared" si="19"/>
        <v>2668.2560000000003</v>
      </c>
      <c r="Q197" s="18">
        <f t="shared" si="20"/>
        <v>10673.024000000001</v>
      </c>
      <c r="R197" s="14" t="str">
        <f t="shared" si="21"/>
        <v>Low Sell</v>
      </c>
      <c r="S197" s="8" t="str">
        <f t="shared" si="22"/>
        <v>Low</v>
      </c>
      <c r="T197" s="8" t="str">
        <f t="shared" si="23"/>
        <v>Low</v>
      </c>
      <c r="U197" s="8"/>
    </row>
    <row r="198" spans="1:21" ht="14.25" customHeight="1">
      <c r="A198" s="1">
        <v>10218</v>
      </c>
      <c r="B198" s="1">
        <v>1577</v>
      </c>
      <c r="C198" s="2">
        <v>45206</v>
      </c>
      <c r="D198" s="2">
        <v>45209</v>
      </c>
      <c r="E198" s="1" t="s">
        <v>36</v>
      </c>
      <c r="F198" s="1" t="s">
        <v>28</v>
      </c>
      <c r="G198" s="1" t="s">
        <v>16</v>
      </c>
      <c r="H198" s="1" t="s">
        <v>43</v>
      </c>
      <c r="I198" s="1" t="s">
        <v>25</v>
      </c>
      <c r="J198" s="1" t="s">
        <v>67</v>
      </c>
      <c r="K198" s="1" t="s">
        <v>44</v>
      </c>
      <c r="L198" s="1">
        <v>2</v>
      </c>
      <c r="M198" s="1">
        <v>2401.63</v>
      </c>
      <c r="N198" s="7">
        <v>0</v>
      </c>
      <c r="O198" s="16">
        <f t="shared" si="18"/>
        <v>4803.26</v>
      </c>
      <c r="P198" s="18">
        <f t="shared" si="19"/>
        <v>0</v>
      </c>
      <c r="Q198" s="18">
        <f t="shared" si="20"/>
        <v>4803.26</v>
      </c>
      <c r="R198" s="14" t="str">
        <f t="shared" si="21"/>
        <v>Low Sell</v>
      </c>
      <c r="S198" s="8" t="str">
        <f t="shared" si="22"/>
        <v>Low</v>
      </c>
      <c r="T198" s="8" t="str">
        <f t="shared" si="23"/>
        <v>Low</v>
      </c>
      <c r="U198" s="8"/>
    </row>
    <row r="199" spans="1:21" ht="14.25" customHeight="1">
      <c r="A199" s="1">
        <v>10220</v>
      </c>
      <c r="B199" s="1">
        <v>1556</v>
      </c>
      <c r="C199" s="2">
        <v>45026</v>
      </c>
      <c r="D199" s="2">
        <v>45035</v>
      </c>
      <c r="E199" s="1" t="s">
        <v>36</v>
      </c>
      <c r="F199" s="1" t="s">
        <v>15</v>
      </c>
      <c r="G199" s="1" t="s">
        <v>23</v>
      </c>
      <c r="H199" s="1" t="s">
        <v>17</v>
      </c>
      <c r="I199" s="1" t="s">
        <v>18</v>
      </c>
      <c r="J199" s="1" t="s">
        <v>54</v>
      </c>
      <c r="K199" s="1" t="s">
        <v>20</v>
      </c>
      <c r="L199" s="1">
        <v>8</v>
      </c>
      <c r="M199" s="1">
        <v>3240.98</v>
      </c>
      <c r="N199" s="7">
        <v>0</v>
      </c>
      <c r="O199" s="16">
        <f t="shared" si="18"/>
        <v>25927.84</v>
      </c>
      <c r="P199" s="18">
        <f t="shared" si="19"/>
        <v>0</v>
      </c>
      <c r="Q199" s="18">
        <f t="shared" si="20"/>
        <v>25927.84</v>
      </c>
      <c r="R199" s="14" t="str">
        <f t="shared" si="21"/>
        <v>High Sell</v>
      </c>
      <c r="S199" s="8" t="str">
        <f t="shared" si="22"/>
        <v>High</v>
      </c>
      <c r="T199" s="8" t="str">
        <f t="shared" si="23"/>
        <v>High</v>
      </c>
      <c r="U199" s="8"/>
    </row>
    <row r="200" spans="1:21" ht="14.25" customHeight="1">
      <c r="A200" s="1">
        <v>10222</v>
      </c>
      <c r="B200" s="1">
        <v>1952</v>
      </c>
      <c r="C200" s="2">
        <v>45223</v>
      </c>
      <c r="D200" s="2">
        <v>45231</v>
      </c>
      <c r="E200" s="1" t="s">
        <v>15</v>
      </c>
      <c r="F200" s="1" t="s">
        <v>15</v>
      </c>
      <c r="G200" s="1" t="s">
        <v>23</v>
      </c>
      <c r="H200" s="1" t="s">
        <v>43</v>
      </c>
      <c r="I200" s="1" t="s">
        <v>48</v>
      </c>
      <c r="J200" s="1" t="s">
        <v>50</v>
      </c>
      <c r="K200" s="1" t="s">
        <v>20</v>
      </c>
      <c r="L200" s="1">
        <v>7</v>
      </c>
      <c r="M200" s="1">
        <v>3907.73</v>
      </c>
      <c r="N200" s="7">
        <v>10</v>
      </c>
      <c r="O200" s="16">
        <f t="shared" si="18"/>
        <v>27354.11</v>
      </c>
      <c r="P200" s="18">
        <f t="shared" si="19"/>
        <v>2735.4110000000001</v>
      </c>
      <c r="Q200" s="18">
        <f t="shared" si="20"/>
        <v>24618.699000000001</v>
      </c>
      <c r="R200" s="14" t="str">
        <f t="shared" si="21"/>
        <v>High Sell</v>
      </c>
      <c r="S200" s="8" t="str">
        <f t="shared" si="22"/>
        <v>High</v>
      </c>
      <c r="T200" s="8" t="str">
        <f t="shared" si="23"/>
        <v>High</v>
      </c>
      <c r="U200" s="8"/>
    </row>
    <row r="201" spans="1:21" ht="14.25" customHeight="1">
      <c r="A201" s="1">
        <v>10223</v>
      </c>
      <c r="B201" s="1">
        <v>1645</v>
      </c>
      <c r="C201" s="2">
        <v>45108</v>
      </c>
      <c r="D201" s="2">
        <v>45117</v>
      </c>
      <c r="E201" s="1" t="s">
        <v>45</v>
      </c>
      <c r="F201" s="1" t="s">
        <v>53</v>
      </c>
      <c r="G201" s="1" t="s">
        <v>16</v>
      </c>
      <c r="H201" s="1" t="s">
        <v>24</v>
      </c>
      <c r="I201" s="1" t="s">
        <v>56</v>
      </c>
      <c r="J201" s="1" t="s">
        <v>58</v>
      </c>
      <c r="K201" s="1" t="s">
        <v>46</v>
      </c>
      <c r="L201" s="1">
        <v>6</v>
      </c>
      <c r="M201" s="1">
        <v>1477.55</v>
      </c>
      <c r="N201" s="7">
        <v>10</v>
      </c>
      <c r="O201" s="16">
        <f t="shared" si="18"/>
        <v>8865.2999999999993</v>
      </c>
      <c r="P201" s="18">
        <f t="shared" si="19"/>
        <v>886.53</v>
      </c>
      <c r="Q201" s="18">
        <f t="shared" si="20"/>
        <v>7978.7699999999995</v>
      </c>
      <c r="R201" s="14" t="str">
        <f t="shared" si="21"/>
        <v>High Sell</v>
      </c>
      <c r="S201" s="8" t="str">
        <f t="shared" si="22"/>
        <v>High</v>
      </c>
      <c r="T201" s="8" t="str">
        <f t="shared" si="23"/>
        <v>High</v>
      </c>
      <c r="U201" s="8"/>
    </row>
    <row r="202" spans="1:21" ht="14.25" customHeight="1">
      <c r="A202" s="1">
        <v>10226</v>
      </c>
      <c r="B202" s="1">
        <v>1619</v>
      </c>
      <c r="C202" s="2">
        <v>45290</v>
      </c>
      <c r="D202" s="2">
        <v>45291</v>
      </c>
      <c r="E202" s="1" t="s">
        <v>36</v>
      </c>
      <c r="F202" s="1" t="s">
        <v>37</v>
      </c>
      <c r="G202" s="1" t="s">
        <v>16</v>
      </c>
      <c r="H202" s="1" t="s">
        <v>41</v>
      </c>
      <c r="I202" s="1" t="s">
        <v>48</v>
      </c>
      <c r="J202" s="1" t="s">
        <v>62</v>
      </c>
      <c r="K202" s="1" t="s">
        <v>44</v>
      </c>
      <c r="L202" s="1">
        <v>5</v>
      </c>
      <c r="M202" s="1">
        <v>620.13</v>
      </c>
      <c r="N202" s="7">
        <v>5</v>
      </c>
      <c r="O202" s="16">
        <f t="shared" si="18"/>
        <v>3100.65</v>
      </c>
      <c r="P202" s="18">
        <f t="shared" si="19"/>
        <v>155.03250000000003</v>
      </c>
      <c r="Q202" s="18">
        <f t="shared" si="20"/>
        <v>2945.6175000000003</v>
      </c>
      <c r="R202" s="14" t="str">
        <f t="shared" si="21"/>
        <v>High Sell</v>
      </c>
      <c r="S202" s="8" t="str">
        <f t="shared" si="22"/>
        <v>Medium</v>
      </c>
      <c r="T202" s="8" t="str">
        <f t="shared" si="23"/>
        <v>Medium</v>
      </c>
      <c r="U202" s="8"/>
    </row>
    <row r="203" spans="1:21" ht="14.25" customHeight="1">
      <c r="A203" s="1">
        <v>10229</v>
      </c>
      <c r="B203" s="1">
        <v>1797</v>
      </c>
      <c r="C203" s="2">
        <v>44957</v>
      </c>
      <c r="D203" s="2">
        <v>44959</v>
      </c>
      <c r="E203" s="1" t="s">
        <v>15</v>
      </c>
      <c r="F203" s="1" t="s">
        <v>53</v>
      </c>
      <c r="G203" s="1" t="s">
        <v>29</v>
      </c>
      <c r="H203" s="1" t="s">
        <v>43</v>
      </c>
      <c r="I203" s="1" t="s">
        <v>48</v>
      </c>
      <c r="J203" s="1" t="s">
        <v>66</v>
      </c>
      <c r="K203" s="1" t="s">
        <v>32</v>
      </c>
      <c r="L203" s="1">
        <v>8</v>
      </c>
      <c r="M203" s="1">
        <v>3519.2</v>
      </c>
      <c r="N203" s="7">
        <v>0</v>
      </c>
      <c r="O203" s="16">
        <f t="shared" si="18"/>
        <v>28153.599999999999</v>
      </c>
      <c r="P203" s="18">
        <f t="shared" si="19"/>
        <v>0</v>
      </c>
      <c r="Q203" s="18">
        <f t="shared" si="20"/>
        <v>28153.599999999999</v>
      </c>
      <c r="R203" s="14" t="str">
        <f t="shared" si="21"/>
        <v>High Sell</v>
      </c>
      <c r="S203" s="8" t="str">
        <f t="shared" si="22"/>
        <v>High</v>
      </c>
      <c r="T203" s="8" t="str">
        <f t="shared" si="23"/>
        <v>High</v>
      </c>
      <c r="U203" s="8"/>
    </row>
    <row r="204" spans="1:21" ht="14.25" customHeight="1">
      <c r="A204" s="1">
        <v>10232</v>
      </c>
      <c r="B204" s="1">
        <v>1639</v>
      </c>
      <c r="C204" s="2">
        <v>44962</v>
      </c>
      <c r="D204" s="2">
        <v>44969</v>
      </c>
      <c r="E204" s="1" t="s">
        <v>21</v>
      </c>
      <c r="F204" s="1" t="s">
        <v>28</v>
      </c>
      <c r="G204" s="1" t="s">
        <v>16</v>
      </c>
      <c r="H204" s="1" t="s">
        <v>17</v>
      </c>
      <c r="I204" s="1" t="s">
        <v>56</v>
      </c>
      <c r="J204" s="1" t="s">
        <v>58</v>
      </c>
      <c r="K204" s="1" t="s">
        <v>20</v>
      </c>
      <c r="L204" s="1">
        <v>1</v>
      </c>
      <c r="M204" s="1">
        <v>2250.4899999999998</v>
      </c>
      <c r="N204" s="7">
        <v>15</v>
      </c>
      <c r="O204" s="16">
        <f t="shared" si="18"/>
        <v>2250.4899999999998</v>
      </c>
      <c r="P204" s="18">
        <f t="shared" si="19"/>
        <v>337.57349999999997</v>
      </c>
      <c r="Q204" s="18">
        <f t="shared" si="20"/>
        <v>1912.9164999999998</v>
      </c>
      <c r="R204" s="14" t="str">
        <f t="shared" si="21"/>
        <v>Low Sell</v>
      </c>
      <c r="S204" s="8" t="str">
        <f t="shared" si="22"/>
        <v>Low</v>
      </c>
      <c r="T204" s="8" t="str">
        <f t="shared" si="23"/>
        <v>Low</v>
      </c>
      <c r="U204" s="8"/>
    </row>
    <row r="205" spans="1:21" ht="14.25" customHeight="1">
      <c r="A205" s="1">
        <v>10233</v>
      </c>
      <c r="B205" s="1">
        <v>1505</v>
      </c>
      <c r="C205" s="2">
        <v>45139</v>
      </c>
      <c r="D205" s="2">
        <v>45143</v>
      </c>
      <c r="E205" s="1" t="s">
        <v>15</v>
      </c>
      <c r="F205" s="1" t="s">
        <v>40</v>
      </c>
      <c r="G205" s="1" t="s">
        <v>16</v>
      </c>
      <c r="H205" s="1" t="s">
        <v>43</v>
      </c>
      <c r="I205" s="1" t="s">
        <v>18</v>
      </c>
      <c r="J205" s="1" t="s">
        <v>54</v>
      </c>
      <c r="K205" s="1" t="s">
        <v>46</v>
      </c>
      <c r="L205" s="1">
        <v>1</v>
      </c>
      <c r="M205" s="1">
        <v>556.53</v>
      </c>
      <c r="N205" s="7">
        <v>5</v>
      </c>
      <c r="O205" s="16">
        <f t="shared" si="18"/>
        <v>556.53</v>
      </c>
      <c r="P205" s="18">
        <f t="shared" si="19"/>
        <v>27.826499999999999</v>
      </c>
      <c r="Q205" s="18">
        <f t="shared" si="20"/>
        <v>528.70349999999996</v>
      </c>
      <c r="R205" s="14" t="str">
        <f t="shared" si="21"/>
        <v>Low Sell</v>
      </c>
      <c r="S205" s="8" t="str">
        <f t="shared" si="22"/>
        <v>Low</v>
      </c>
      <c r="T205" s="8" t="str">
        <f t="shared" si="23"/>
        <v>Low</v>
      </c>
      <c r="U205" s="8"/>
    </row>
    <row r="206" spans="1:21" ht="14.25" customHeight="1">
      <c r="A206" s="1">
        <v>10234</v>
      </c>
      <c r="B206" s="1">
        <v>1347</v>
      </c>
      <c r="C206" s="2">
        <v>45290</v>
      </c>
      <c r="D206" s="2">
        <v>45295</v>
      </c>
      <c r="E206" s="1" t="s">
        <v>36</v>
      </c>
      <c r="F206" s="1" t="s">
        <v>15</v>
      </c>
      <c r="G206" s="1" t="s">
        <v>29</v>
      </c>
      <c r="H206" s="1" t="s">
        <v>43</v>
      </c>
      <c r="I206" s="1" t="s">
        <v>30</v>
      </c>
      <c r="J206" s="1" t="s">
        <v>47</v>
      </c>
      <c r="K206" s="1" t="s">
        <v>32</v>
      </c>
      <c r="L206" s="1">
        <v>7</v>
      </c>
      <c r="M206" s="1">
        <v>324.38</v>
      </c>
      <c r="N206" s="7">
        <v>10</v>
      </c>
      <c r="O206" s="16">
        <f t="shared" si="18"/>
        <v>2270.66</v>
      </c>
      <c r="P206" s="18">
        <f t="shared" si="19"/>
        <v>227.066</v>
      </c>
      <c r="Q206" s="18">
        <f t="shared" si="20"/>
        <v>2043.5939999999998</v>
      </c>
      <c r="R206" s="14" t="str">
        <f t="shared" si="21"/>
        <v>High Sell</v>
      </c>
      <c r="S206" s="8" t="str">
        <f t="shared" si="22"/>
        <v>High</v>
      </c>
      <c r="T206" s="8" t="str">
        <f t="shared" si="23"/>
        <v>High</v>
      </c>
      <c r="U206" s="8"/>
    </row>
    <row r="207" spans="1:21" ht="14.25" customHeight="1">
      <c r="A207" s="1">
        <v>10235</v>
      </c>
      <c r="B207" s="1">
        <v>1472</v>
      </c>
      <c r="C207" s="2">
        <v>45032</v>
      </c>
      <c r="D207" s="2">
        <v>45040</v>
      </c>
      <c r="E207" s="1" t="s">
        <v>39</v>
      </c>
      <c r="F207" s="1" t="s">
        <v>28</v>
      </c>
      <c r="G207" s="1" t="s">
        <v>16</v>
      </c>
      <c r="H207" s="1" t="s">
        <v>34</v>
      </c>
      <c r="I207" s="1" t="s">
        <v>51</v>
      </c>
      <c r="J207" s="1" t="s">
        <v>59</v>
      </c>
      <c r="K207" s="1" t="s">
        <v>46</v>
      </c>
      <c r="L207" s="1">
        <v>9</v>
      </c>
      <c r="M207" s="1">
        <v>2677.09</v>
      </c>
      <c r="N207" s="7">
        <v>10</v>
      </c>
      <c r="O207" s="16">
        <f t="shared" si="18"/>
        <v>24093.81</v>
      </c>
      <c r="P207" s="18">
        <f t="shared" si="19"/>
        <v>2409.3810000000003</v>
      </c>
      <c r="Q207" s="18">
        <f t="shared" si="20"/>
        <v>21684.429</v>
      </c>
      <c r="R207" s="14" t="str">
        <f t="shared" si="21"/>
        <v>High Sell</v>
      </c>
      <c r="S207" s="8" t="str">
        <f t="shared" si="22"/>
        <v>High</v>
      </c>
      <c r="T207" s="8" t="str">
        <f t="shared" si="23"/>
        <v>High</v>
      </c>
      <c r="U207" s="8"/>
    </row>
    <row r="208" spans="1:21" ht="14.25" customHeight="1">
      <c r="A208" s="1">
        <v>10238</v>
      </c>
      <c r="B208" s="1">
        <v>1224</v>
      </c>
      <c r="C208" s="2">
        <v>45089</v>
      </c>
      <c r="D208" s="2">
        <v>45093</v>
      </c>
      <c r="E208" s="1" t="s">
        <v>33</v>
      </c>
      <c r="F208" s="1" t="s">
        <v>37</v>
      </c>
      <c r="G208" s="1" t="s">
        <v>23</v>
      </c>
      <c r="H208" s="1" t="s">
        <v>34</v>
      </c>
      <c r="I208" s="1" t="s">
        <v>56</v>
      </c>
      <c r="J208" s="1" t="s">
        <v>61</v>
      </c>
      <c r="K208" s="1" t="s">
        <v>44</v>
      </c>
      <c r="L208" s="1">
        <v>8</v>
      </c>
      <c r="M208" s="1">
        <v>284.52</v>
      </c>
      <c r="N208" s="7">
        <v>15</v>
      </c>
      <c r="O208" s="16">
        <f t="shared" si="18"/>
        <v>2276.16</v>
      </c>
      <c r="P208" s="18">
        <f t="shared" si="19"/>
        <v>341.42399999999998</v>
      </c>
      <c r="Q208" s="18">
        <f t="shared" si="20"/>
        <v>1934.7359999999999</v>
      </c>
      <c r="R208" s="14" t="str">
        <f t="shared" si="21"/>
        <v>High Sell</v>
      </c>
      <c r="S208" s="8" t="str">
        <f t="shared" si="22"/>
        <v>High</v>
      </c>
      <c r="T208" s="8" t="str">
        <f t="shared" si="23"/>
        <v>High</v>
      </c>
      <c r="U208" s="8"/>
    </row>
    <row r="209" spans="1:21" ht="14.25" customHeight="1">
      <c r="A209" s="1">
        <v>10239</v>
      </c>
      <c r="B209" s="1">
        <v>1384</v>
      </c>
      <c r="C209" s="2">
        <v>45146</v>
      </c>
      <c r="D209" s="2">
        <v>45149</v>
      </c>
      <c r="E209" s="1" t="s">
        <v>33</v>
      </c>
      <c r="F209" s="1" t="s">
        <v>40</v>
      </c>
      <c r="G209" s="1" t="s">
        <v>23</v>
      </c>
      <c r="H209" s="1" t="s">
        <v>24</v>
      </c>
      <c r="I209" s="1" t="s">
        <v>48</v>
      </c>
      <c r="J209" s="1" t="s">
        <v>62</v>
      </c>
      <c r="K209" s="1" t="s">
        <v>46</v>
      </c>
      <c r="L209" s="1">
        <v>2</v>
      </c>
      <c r="M209" s="1">
        <v>3960.56</v>
      </c>
      <c r="N209" s="7">
        <v>10</v>
      </c>
      <c r="O209" s="16">
        <f t="shared" si="18"/>
        <v>7921.12</v>
      </c>
      <c r="P209" s="18">
        <f t="shared" si="19"/>
        <v>792.11200000000008</v>
      </c>
      <c r="Q209" s="18">
        <f t="shared" si="20"/>
        <v>7129.0079999999998</v>
      </c>
      <c r="R209" s="14" t="str">
        <f t="shared" si="21"/>
        <v>Low Sell</v>
      </c>
      <c r="S209" s="8" t="str">
        <f t="shared" si="22"/>
        <v>Low</v>
      </c>
      <c r="T209" s="8" t="str">
        <f t="shared" si="23"/>
        <v>Low</v>
      </c>
      <c r="U209" s="8"/>
    </row>
    <row r="210" spans="1:21" ht="14.25" customHeight="1">
      <c r="A210" s="1">
        <v>10240</v>
      </c>
      <c r="B210" s="1">
        <v>1376</v>
      </c>
      <c r="C210" s="2">
        <v>45196</v>
      </c>
      <c r="D210" s="2">
        <v>45198</v>
      </c>
      <c r="E210" s="1" t="s">
        <v>15</v>
      </c>
      <c r="F210" s="1" t="s">
        <v>37</v>
      </c>
      <c r="G210" s="1" t="s">
        <v>16</v>
      </c>
      <c r="H210" s="1" t="s">
        <v>41</v>
      </c>
      <c r="I210" s="1" t="s">
        <v>56</v>
      </c>
      <c r="J210" s="1" t="s">
        <v>65</v>
      </c>
      <c r="K210" s="1" t="s">
        <v>44</v>
      </c>
      <c r="L210" s="1">
        <v>9</v>
      </c>
      <c r="M210" s="1">
        <v>265.58</v>
      </c>
      <c r="N210" s="7">
        <v>10</v>
      </c>
      <c r="O210" s="16">
        <f t="shared" si="18"/>
        <v>2390.2199999999998</v>
      </c>
      <c r="P210" s="18">
        <f t="shared" si="19"/>
        <v>239.02199999999999</v>
      </c>
      <c r="Q210" s="18">
        <f t="shared" si="20"/>
        <v>2151.1979999999999</v>
      </c>
      <c r="R210" s="14" t="str">
        <f t="shared" si="21"/>
        <v>High Sell</v>
      </c>
      <c r="S210" s="8" t="str">
        <f t="shared" si="22"/>
        <v>High</v>
      </c>
      <c r="T210" s="8" t="str">
        <f t="shared" si="23"/>
        <v>High</v>
      </c>
      <c r="U210" s="8"/>
    </row>
    <row r="211" spans="1:21" ht="14.25" customHeight="1">
      <c r="A211" s="1">
        <v>10241</v>
      </c>
      <c r="B211" s="1">
        <v>1282</v>
      </c>
      <c r="C211" s="2">
        <v>45046</v>
      </c>
      <c r="D211" s="2">
        <v>45049</v>
      </c>
      <c r="E211" s="1" t="s">
        <v>39</v>
      </c>
      <c r="F211" s="1" t="s">
        <v>40</v>
      </c>
      <c r="G211" s="1" t="s">
        <v>29</v>
      </c>
      <c r="H211" s="1" t="s">
        <v>17</v>
      </c>
      <c r="I211" s="1" t="s">
        <v>18</v>
      </c>
      <c r="J211" s="1" t="s">
        <v>68</v>
      </c>
      <c r="K211" s="1" t="s">
        <v>32</v>
      </c>
      <c r="L211" s="1">
        <v>6</v>
      </c>
      <c r="M211" s="1">
        <v>1861.43</v>
      </c>
      <c r="N211" s="7">
        <v>0</v>
      </c>
      <c r="O211" s="16">
        <f t="shared" si="18"/>
        <v>11168.58</v>
      </c>
      <c r="P211" s="18">
        <f t="shared" si="19"/>
        <v>0</v>
      </c>
      <c r="Q211" s="18">
        <f t="shared" si="20"/>
        <v>11168.58</v>
      </c>
      <c r="R211" s="14" t="str">
        <f t="shared" si="21"/>
        <v>High Sell</v>
      </c>
      <c r="S211" s="8" t="str">
        <f t="shared" si="22"/>
        <v>High</v>
      </c>
      <c r="T211" s="8" t="str">
        <f t="shared" si="23"/>
        <v>High</v>
      </c>
      <c r="U211" s="8"/>
    </row>
    <row r="212" spans="1:21" ht="14.25" customHeight="1">
      <c r="A212" s="1">
        <v>10243</v>
      </c>
      <c r="B212" s="1">
        <v>1632</v>
      </c>
      <c r="C212" s="2">
        <v>45108</v>
      </c>
      <c r="D212" s="2">
        <v>45109</v>
      </c>
      <c r="E212" s="1" t="s">
        <v>36</v>
      </c>
      <c r="F212" s="1" t="s">
        <v>22</v>
      </c>
      <c r="G212" s="1" t="s">
        <v>29</v>
      </c>
      <c r="H212" s="1" t="s">
        <v>17</v>
      </c>
      <c r="I212" s="1" t="s">
        <v>56</v>
      </c>
      <c r="J212" s="1" t="s">
        <v>58</v>
      </c>
      <c r="K212" s="1" t="s">
        <v>27</v>
      </c>
      <c r="L212" s="1">
        <v>2</v>
      </c>
      <c r="M212" s="1">
        <v>601.53</v>
      </c>
      <c r="N212" s="7">
        <v>20</v>
      </c>
      <c r="O212" s="16">
        <f t="shared" si="18"/>
        <v>1203.06</v>
      </c>
      <c r="P212" s="18">
        <f t="shared" si="19"/>
        <v>240.61199999999999</v>
      </c>
      <c r="Q212" s="18">
        <f t="shared" si="20"/>
        <v>962.44799999999998</v>
      </c>
      <c r="R212" s="14" t="str">
        <f t="shared" si="21"/>
        <v>Low Sell</v>
      </c>
      <c r="S212" s="8" t="str">
        <f t="shared" si="22"/>
        <v>Low</v>
      </c>
      <c r="T212" s="8" t="str">
        <f t="shared" si="23"/>
        <v>Low</v>
      </c>
      <c r="U212" s="8"/>
    </row>
    <row r="213" spans="1:21" ht="14.25" customHeight="1">
      <c r="A213" s="1">
        <v>10244</v>
      </c>
      <c r="B213" s="1">
        <v>1627</v>
      </c>
      <c r="C213" s="2">
        <v>45032</v>
      </c>
      <c r="D213" s="2">
        <v>45038</v>
      </c>
      <c r="E213" s="1" t="s">
        <v>33</v>
      </c>
      <c r="F213" s="1" t="s">
        <v>28</v>
      </c>
      <c r="G213" s="1" t="s">
        <v>16</v>
      </c>
      <c r="H213" s="1" t="s">
        <v>43</v>
      </c>
      <c r="I213" s="1" t="s">
        <v>51</v>
      </c>
      <c r="J213" s="1" t="s">
        <v>52</v>
      </c>
      <c r="K213" s="1" t="s">
        <v>44</v>
      </c>
      <c r="L213" s="1">
        <v>3</v>
      </c>
      <c r="M213" s="1">
        <v>800.89</v>
      </c>
      <c r="N213" s="7">
        <v>0</v>
      </c>
      <c r="O213" s="16">
        <f t="shared" si="18"/>
        <v>2402.67</v>
      </c>
      <c r="P213" s="18">
        <f t="shared" si="19"/>
        <v>0</v>
      </c>
      <c r="Q213" s="18">
        <f t="shared" si="20"/>
        <v>2402.67</v>
      </c>
      <c r="R213" s="14" t="str">
        <f t="shared" si="21"/>
        <v>Low Sell</v>
      </c>
      <c r="S213" s="8" t="str">
        <f t="shared" si="22"/>
        <v>Low</v>
      </c>
      <c r="T213" s="8" t="str">
        <f t="shared" si="23"/>
        <v>Low</v>
      </c>
      <c r="U213" s="8"/>
    </row>
    <row r="214" spans="1:21" ht="14.25" customHeight="1">
      <c r="A214" s="1">
        <v>10245</v>
      </c>
      <c r="B214" s="1">
        <v>1972</v>
      </c>
      <c r="C214" s="2">
        <v>45143</v>
      </c>
      <c r="D214" s="2">
        <v>45148</v>
      </c>
      <c r="E214" s="1" t="s">
        <v>14</v>
      </c>
      <c r="F214" s="1" t="s">
        <v>15</v>
      </c>
      <c r="G214" s="1" t="s">
        <v>29</v>
      </c>
      <c r="H214" s="1" t="s">
        <v>41</v>
      </c>
      <c r="I214" s="1" t="s">
        <v>48</v>
      </c>
      <c r="J214" s="1" t="s">
        <v>50</v>
      </c>
      <c r="K214" s="1" t="s">
        <v>46</v>
      </c>
      <c r="L214" s="1">
        <v>8</v>
      </c>
      <c r="M214" s="1">
        <v>1504.45</v>
      </c>
      <c r="N214" s="7">
        <v>20</v>
      </c>
      <c r="O214" s="16">
        <f t="shared" si="18"/>
        <v>12035.6</v>
      </c>
      <c r="P214" s="18">
        <f t="shared" si="19"/>
        <v>2407.1200000000003</v>
      </c>
      <c r="Q214" s="18">
        <f t="shared" si="20"/>
        <v>9628.48</v>
      </c>
      <c r="R214" s="14" t="str">
        <f t="shared" si="21"/>
        <v>High Sell</v>
      </c>
      <c r="S214" s="8" t="str">
        <f t="shared" si="22"/>
        <v>High</v>
      </c>
      <c r="T214" s="8" t="str">
        <f t="shared" si="23"/>
        <v>High</v>
      </c>
      <c r="U214" s="8"/>
    </row>
    <row r="215" spans="1:21" ht="14.25" customHeight="1">
      <c r="A215" s="1">
        <v>10246</v>
      </c>
      <c r="B215" s="1">
        <v>1744</v>
      </c>
      <c r="C215" s="2">
        <v>45131</v>
      </c>
      <c r="D215" s="2">
        <v>45139</v>
      </c>
      <c r="E215" s="1" t="s">
        <v>15</v>
      </c>
      <c r="F215" s="1" t="s">
        <v>28</v>
      </c>
      <c r="G215" s="1" t="s">
        <v>23</v>
      </c>
      <c r="H215" s="1" t="s">
        <v>24</v>
      </c>
      <c r="I215" s="1" t="s">
        <v>51</v>
      </c>
      <c r="J215" s="1" t="s">
        <v>52</v>
      </c>
      <c r="K215" s="1" t="s">
        <v>44</v>
      </c>
      <c r="L215" s="1">
        <v>1</v>
      </c>
      <c r="M215" s="1">
        <v>3082.45</v>
      </c>
      <c r="N215" s="7">
        <v>5</v>
      </c>
      <c r="O215" s="16">
        <f t="shared" si="18"/>
        <v>3082.45</v>
      </c>
      <c r="P215" s="18">
        <f t="shared" si="19"/>
        <v>154.1225</v>
      </c>
      <c r="Q215" s="18">
        <f t="shared" si="20"/>
        <v>2928.3274999999999</v>
      </c>
      <c r="R215" s="14" t="str">
        <f t="shared" si="21"/>
        <v>Low Sell</v>
      </c>
      <c r="S215" s="8" t="str">
        <f t="shared" si="22"/>
        <v>Low</v>
      </c>
      <c r="T215" s="8" t="str">
        <f t="shared" si="23"/>
        <v>Low</v>
      </c>
      <c r="U215" s="8"/>
    </row>
    <row r="216" spans="1:21" ht="14.25" customHeight="1">
      <c r="A216" s="1">
        <v>10247</v>
      </c>
      <c r="B216" s="1">
        <v>1258</v>
      </c>
      <c r="C216" s="2">
        <v>44996</v>
      </c>
      <c r="D216" s="2">
        <v>44998</v>
      </c>
      <c r="E216" s="1" t="s">
        <v>14</v>
      </c>
      <c r="F216" s="1" t="s">
        <v>53</v>
      </c>
      <c r="G216" s="1" t="s">
        <v>29</v>
      </c>
      <c r="H216" s="1" t="s">
        <v>34</v>
      </c>
      <c r="I216" s="1" t="s">
        <v>51</v>
      </c>
      <c r="J216" s="1" t="s">
        <v>63</v>
      </c>
      <c r="K216" s="1" t="s">
        <v>46</v>
      </c>
      <c r="L216" s="1">
        <v>7</v>
      </c>
      <c r="M216" s="1">
        <v>2102.27</v>
      </c>
      <c r="N216" s="7">
        <v>20</v>
      </c>
      <c r="O216" s="16">
        <f t="shared" si="18"/>
        <v>14715.89</v>
      </c>
      <c r="P216" s="18">
        <f t="shared" si="19"/>
        <v>2943.1779999999999</v>
      </c>
      <c r="Q216" s="18">
        <f t="shared" si="20"/>
        <v>11772.712</v>
      </c>
      <c r="R216" s="14" t="str">
        <f t="shared" si="21"/>
        <v>High Sell</v>
      </c>
      <c r="S216" s="8" t="str">
        <f t="shared" si="22"/>
        <v>High</v>
      </c>
      <c r="T216" s="8" t="str">
        <f t="shared" si="23"/>
        <v>High</v>
      </c>
      <c r="U216" s="8"/>
    </row>
    <row r="217" spans="1:21" ht="14.25" customHeight="1">
      <c r="A217" s="1">
        <v>10248</v>
      </c>
      <c r="B217" s="1">
        <v>1358</v>
      </c>
      <c r="C217" s="2">
        <v>44970</v>
      </c>
      <c r="D217" s="2">
        <v>44974</v>
      </c>
      <c r="E217" s="1" t="s">
        <v>21</v>
      </c>
      <c r="F217" s="1" t="s">
        <v>15</v>
      </c>
      <c r="G217" s="1" t="s">
        <v>29</v>
      </c>
      <c r="H217" s="1" t="s">
        <v>41</v>
      </c>
      <c r="I217" s="1" t="s">
        <v>30</v>
      </c>
      <c r="J217" s="1" t="s">
        <v>38</v>
      </c>
      <c r="K217" s="1" t="s">
        <v>20</v>
      </c>
      <c r="L217" s="1">
        <v>7</v>
      </c>
      <c r="M217" s="1">
        <v>2605.92</v>
      </c>
      <c r="N217" s="7">
        <v>20</v>
      </c>
      <c r="O217" s="16">
        <f t="shared" si="18"/>
        <v>18241.440000000002</v>
      </c>
      <c r="P217" s="18">
        <f t="shared" si="19"/>
        <v>3648.2880000000005</v>
      </c>
      <c r="Q217" s="18">
        <f t="shared" si="20"/>
        <v>14593.152000000002</v>
      </c>
      <c r="R217" s="14" t="str">
        <f t="shared" si="21"/>
        <v>High Sell</v>
      </c>
      <c r="S217" s="8" t="str">
        <f t="shared" si="22"/>
        <v>High</v>
      </c>
      <c r="T217" s="8" t="str">
        <f t="shared" si="23"/>
        <v>High</v>
      </c>
      <c r="U217" s="8"/>
    </row>
    <row r="218" spans="1:21" ht="14.25" customHeight="1">
      <c r="A218" s="1">
        <v>10249</v>
      </c>
      <c r="B218" s="1">
        <v>1709</v>
      </c>
      <c r="C218" s="2">
        <v>45255</v>
      </c>
      <c r="D218" s="2">
        <v>45263</v>
      </c>
      <c r="E218" s="1" t="s">
        <v>45</v>
      </c>
      <c r="F218" s="1" t="s">
        <v>40</v>
      </c>
      <c r="G218" s="1" t="s">
        <v>16</v>
      </c>
      <c r="H218" s="1" t="s">
        <v>17</v>
      </c>
      <c r="I218" s="1" t="s">
        <v>30</v>
      </c>
      <c r="J218" s="1" t="s">
        <v>64</v>
      </c>
      <c r="K218" s="1" t="s">
        <v>44</v>
      </c>
      <c r="L218" s="1">
        <v>1</v>
      </c>
      <c r="M218" s="1">
        <v>3942.92</v>
      </c>
      <c r="N218" s="7">
        <v>0</v>
      </c>
      <c r="O218" s="16">
        <f t="shared" si="18"/>
        <v>3942.92</v>
      </c>
      <c r="P218" s="18">
        <f t="shared" si="19"/>
        <v>0</v>
      </c>
      <c r="Q218" s="18">
        <f t="shared" si="20"/>
        <v>3942.92</v>
      </c>
      <c r="R218" s="14" t="str">
        <f t="shared" si="21"/>
        <v>Low Sell</v>
      </c>
      <c r="S218" s="8" t="str">
        <f t="shared" si="22"/>
        <v>Low</v>
      </c>
      <c r="T218" s="8" t="str">
        <f t="shared" si="23"/>
        <v>Low</v>
      </c>
      <c r="U218" s="8"/>
    </row>
    <row r="219" spans="1:21" ht="14.25" customHeight="1">
      <c r="A219" s="1">
        <v>10251</v>
      </c>
      <c r="B219" s="1">
        <v>1410</v>
      </c>
      <c r="C219" s="2">
        <v>45154</v>
      </c>
      <c r="D219" s="2">
        <v>45155</v>
      </c>
      <c r="E219" s="1" t="s">
        <v>15</v>
      </c>
      <c r="F219" s="1" t="s">
        <v>22</v>
      </c>
      <c r="G219" s="1" t="s">
        <v>16</v>
      </c>
      <c r="H219" s="1" t="s">
        <v>24</v>
      </c>
      <c r="I219" s="1" t="s">
        <v>30</v>
      </c>
      <c r="J219" s="1" t="s">
        <v>47</v>
      </c>
      <c r="K219" s="1" t="s">
        <v>27</v>
      </c>
      <c r="L219" s="1">
        <v>8</v>
      </c>
      <c r="M219" s="1">
        <v>1822.29</v>
      </c>
      <c r="N219" s="7">
        <v>20</v>
      </c>
      <c r="O219" s="16">
        <f t="shared" si="18"/>
        <v>14578.32</v>
      </c>
      <c r="P219" s="18">
        <f t="shared" si="19"/>
        <v>2915.6640000000002</v>
      </c>
      <c r="Q219" s="18">
        <f t="shared" si="20"/>
        <v>11662.655999999999</v>
      </c>
      <c r="R219" s="14" t="str">
        <f t="shared" si="21"/>
        <v>High Sell</v>
      </c>
      <c r="S219" s="8" t="str">
        <f t="shared" si="22"/>
        <v>High</v>
      </c>
      <c r="T219" s="8" t="str">
        <f t="shared" si="23"/>
        <v>High</v>
      </c>
      <c r="U219" s="8"/>
    </row>
    <row r="220" spans="1:21" ht="14.25" customHeight="1">
      <c r="A220" s="1">
        <v>10252</v>
      </c>
      <c r="B220" s="1">
        <v>1648</v>
      </c>
      <c r="C220" s="2">
        <v>45110</v>
      </c>
      <c r="D220" s="2">
        <v>45114</v>
      </c>
      <c r="E220" s="1" t="s">
        <v>36</v>
      </c>
      <c r="F220" s="1" t="s">
        <v>37</v>
      </c>
      <c r="G220" s="1" t="s">
        <v>23</v>
      </c>
      <c r="H220" s="1" t="s">
        <v>41</v>
      </c>
      <c r="I220" s="1" t="s">
        <v>51</v>
      </c>
      <c r="J220" s="1" t="s">
        <v>59</v>
      </c>
      <c r="K220" s="1" t="s">
        <v>32</v>
      </c>
      <c r="L220" s="1">
        <v>4</v>
      </c>
      <c r="M220" s="1">
        <v>1868.8</v>
      </c>
      <c r="N220" s="7">
        <v>20</v>
      </c>
      <c r="O220" s="16">
        <f t="shared" si="18"/>
        <v>7475.2</v>
      </c>
      <c r="P220" s="18">
        <f t="shared" si="19"/>
        <v>1495.04</v>
      </c>
      <c r="Q220" s="18">
        <f t="shared" si="20"/>
        <v>5980.16</v>
      </c>
      <c r="R220" s="14" t="str">
        <f t="shared" si="21"/>
        <v>Low Sell</v>
      </c>
      <c r="S220" s="8" t="str">
        <f t="shared" si="22"/>
        <v>Low</v>
      </c>
      <c r="T220" s="8" t="str">
        <f t="shared" si="23"/>
        <v>Low</v>
      </c>
      <c r="U220" s="8"/>
    </row>
    <row r="221" spans="1:21" ht="14.25" customHeight="1">
      <c r="A221" s="1">
        <v>10253</v>
      </c>
      <c r="B221" s="1">
        <v>1317</v>
      </c>
      <c r="C221" s="2">
        <v>45033</v>
      </c>
      <c r="D221" s="2">
        <v>45034</v>
      </c>
      <c r="E221" s="1" t="s">
        <v>39</v>
      </c>
      <c r="F221" s="1" t="s">
        <v>40</v>
      </c>
      <c r="G221" s="1" t="s">
        <v>23</v>
      </c>
      <c r="H221" s="1" t="s">
        <v>34</v>
      </c>
      <c r="I221" s="1" t="s">
        <v>18</v>
      </c>
      <c r="J221" s="1" t="s">
        <v>19</v>
      </c>
      <c r="K221" s="1" t="s">
        <v>46</v>
      </c>
      <c r="L221" s="1">
        <v>5</v>
      </c>
      <c r="M221" s="1">
        <v>2532.27</v>
      </c>
      <c r="N221" s="7">
        <v>15</v>
      </c>
      <c r="O221" s="16">
        <f t="shared" si="18"/>
        <v>12661.35</v>
      </c>
      <c r="P221" s="18">
        <f t="shared" si="19"/>
        <v>1899.2024999999999</v>
      </c>
      <c r="Q221" s="18">
        <f t="shared" si="20"/>
        <v>10762.147500000001</v>
      </c>
      <c r="R221" s="14" t="str">
        <f t="shared" si="21"/>
        <v>High Sell</v>
      </c>
      <c r="S221" s="8" t="str">
        <f t="shared" si="22"/>
        <v>Medium</v>
      </c>
      <c r="T221" s="8" t="str">
        <f t="shared" si="23"/>
        <v>Medium</v>
      </c>
      <c r="U221" s="8"/>
    </row>
    <row r="222" spans="1:21" ht="14.25" customHeight="1">
      <c r="A222" s="1">
        <v>10254</v>
      </c>
      <c r="B222" s="1">
        <v>1676</v>
      </c>
      <c r="C222" s="2">
        <v>45010</v>
      </c>
      <c r="D222" s="2">
        <v>45012</v>
      </c>
      <c r="E222" s="1" t="s">
        <v>21</v>
      </c>
      <c r="F222" s="1" t="s">
        <v>15</v>
      </c>
      <c r="G222" s="1" t="s">
        <v>16</v>
      </c>
      <c r="H222" s="1" t="s">
        <v>41</v>
      </c>
      <c r="I222" s="1" t="s">
        <v>51</v>
      </c>
      <c r="J222" s="1" t="s">
        <v>63</v>
      </c>
      <c r="K222" s="1" t="s">
        <v>44</v>
      </c>
      <c r="L222" s="1">
        <v>2</v>
      </c>
      <c r="M222" s="1">
        <v>2711.66</v>
      </c>
      <c r="N222" s="7">
        <v>0</v>
      </c>
      <c r="O222" s="16">
        <f t="shared" si="18"/>
        <v>5423.32</v>
      </c>
      <c r="P222" s="18">
        <f t="shared" si="19"/>
        <v>0</v>
      </c>
      <c r="Q222" s="18">
        <f t="shared" si="20"/>
        <v>5423.32</v>
      </c>
      <c r="R222" s="14" t="str">
        <f t="shared" si="21"/>
        <v>Low Sell</v>
      </c>
      <c r="S222" s="8" t="str">
        <f t="shared" si="22"/>
        <v>Low</v>
      </c>
      <c r="T222" s="8" t="str">
        <f t="shared" si="23"/>
        <v>Low</v>
      </c>
      <c r="U222" s="8"/>
    </row>
    <row r="223" spans="1:21" ht="14.25" customHeight="1">
      <c r="A223" s="1">
        <v>10257</v>
      </c>
      <c r="B223" s="1">
        <v>1233</v>
      </c>
      <c r="C223" s="2">
        <v>45289</v>
      </c>
      <c r="D223" s="2">
        <v>45297</v>
      </c>
      <c r="E223" s="1" t="s">
        <v>39</v>
      </c>
      <c r="F223" s="1" t="s">
        <v>40</v>
      </c>
      <c r="G223" s="1" t="s">
        <v>23</v>
      </c>
      <c r="H223" s="1" t="s">
        <v>43</v>
      </c>
      <c r="I223" s="1" t="s">
        <v>30</v>
      </c>
      <c r="J223" s="1" t="s">
        <v>31</v>
      </c>
      <c r="K223" s="1" t="s">
        <v>46</v>
      </c>
      <c r="L223" s="1">
        <v>3</v>
      </c>
      <c r="M223" s="1">
        <v>240.6</v>
      </c>
      <c r="N223" s="7">
        <v>5</v>
      </c>
      <c r="O223" s="16">
        <f t="shared" si="18"/>
        <v>721.8</v>
      </c>
      <c r="P223" s="18">
        <f t="shared" si="19"/>
        <v>36.089999999999996</v>
      </c>
      <c r="Q223" s="18">
        <f t="shared" si="20"/>
        <v>685.70999999999992</v>
      </c>
      <c r="R223" s="14" t="str">
        <f t="shared" si="21"/>
        <v>Low Sell</v>
      </c>
      <c r="S223" s="8" t="str">
        <f t="shared" si="22"/>
        <v>Low</v>
      </c>
      <c r="T223" s="8" t="str">
        <f t="shared" si="23"/>
        <v>Low</v>
      </c>
      <c r="U223" s="8"/>
    </row>
    <row r="224" spans="1:21" ht="14.25" customHeight="1">
      <c r="A224" s="1">
        <v>10260</v>
      </c>
      <c r="B224" s="1">
        <v>1974</v>
      </c>
      <c r="C224" s="2">
        <v>45104</v>
      </c>
      <c r="D224" s="2">
        <v>45110</v>
      </c>
      <c r="E224" s="1" t="s">
        <v>21</v>
      </c>
      <c r="F224" s="1" t="s">
        <v>40</v>
      </c>
      <c r="G224" s="1" t="s">
        <v>16</v>
      </c>
      <c r="H224" s="1" t="s">
        <v>41</v>
      </c>
      <c r="I224" s="1" t="s">
        <v>30</v>
      </c>
      <c r="J224" s="1" t="s">
        <v>64</v>
      </c>
      <c r="K224" s="1" t="s">
        <v>27</v>
      </c>
      <c r="L224" s="1">
        <v>3</v>
      </c>
      <c r="M224" s="1">
        <v>647.32000000000005</v>
      </c>
      <c r="N224" s="7">
        <v>5</v>
      </c>
      <c r="O224" s="16">
        <f t="shared" si="18"/>
        <v>1941.96</v>
      </c>
      <c r="P224" s="18">
        <f t="shared" si="19"/>
        <v>97.098000000000013</v>
      </c>
      <c r="Q224" s="18">
        <f t="shared" si="20"/>
        <v>1844.8620000000001</v>
      </c>
      <c r="R224" s="14" t="str">
        <f t="shared" si="21"/>
        <v>Low Sell</v>
      </c>
      <c r="S224" s="8" t="str">
        <f t="shared" si="22"/>
        <v>Low</v>
      </c>
      <c r="T224" s="8" t="str">
        <f t="shared" si="23"/>
        <v>Low</v>
      </c>
      <c r="U224" s="8"/>
    </row>
    <row r="225" spans="1:21" ht="14.25" customHeight="1">
      <c r="A225" s="1">
        <v>10261</v>
      </c>
      <c r="B225" s="1">
        <v>1826</v>
      </c>
      <c r="C225" s="2">
        <v>44933</v>
      </c>
      <c r="D225" s="2">
        <v>44936</v>
      </c>
      <c r="E225" s="1" t="s">
        <v>14</v>
      </c>
      <c r="F225" s="1" t="s">
        <v>53</v>
      </c>
      <c r="G225" s="1" t="s">
        <v>23</v>
      </c>
      <c r="H225" s="1" t="s">
        <v>24</v>
      </c>
      <c r="I225" s="1" t="s">
        <v>30</v>
      </c>
      <c r="J225" s="1" t="s">
        <v>31</v>
      </c>
      <c r="K225" s="1" t="s">
        <v>32</v>
      </c>
      <c r="L225" s="1">
        <v>2</v>
      </c>
      <c r="M225" s="1">
        <v>533.25</v>
      </c>
      <c r="N225" s="7">
        <v>0</v>
      </c>
      <c r="O225" s="16">
        <f t="shared" si="18"/>
        <v>1066.5</v>
      </c>
      <c r="P225" s="18">
        <f t="shared" si="19"/>
        <v>0</v>
      </c>
      <c r="Q225" s="18">
        <f t="shared" si="20"/>
        <v>1066.5</v>
      </c>
      <c r="R225" s="14" t="str">
        <f t="shared" si="21"/>
        <v>Low Sell</v>
      </c>
      <c r="S225" s="8" t="str">
        <f t="shared" si="22"/>
        <v>Low</v>
      </c>
      <c r="T225" s="8" t="str">
        <f t="shared" si="23"/>
        <v>Low</v>
      </c>
      <c r="U225" s="8"/>
    </row>
    <row r="226" spans="1:21" ht="14.25" customHeight="1">
      <c r="A226" s="1">
        <v>10262</v>
      </c>
      <c r="B226" s="1">
        <v>1373</v>
      </c>
      <c r="C226" s="2">
        <v>44996</v>
      </c>
      <c r="D226" s="2">
        <v>44998</v>
      </c>
      <c r="E226" s="1" t="s">
        <v>14</v>
      </c>
      <c r="F226" s="1" t="s">
        <v>22</v>
      </c>
      <c r="G226" s="1" t="s">
        <v>16</v>
      </c>
      <c r="H226" s="1" t="s">
        <v>43</v>
      </c>
      <c r="I226" s="1" t="s">
        <v>56</v>
      </c>
      <c r="J226" s="1" t="s">
        <v>58</v>
      </c>
      <c r="K226" s="1" t="s">
        <v>20</v>
      </c>
      <c r="L226" s="1">
        <v>7</v>
      </c>
      <c r="M226" s="1">
        <v>2472.29</v>
      </c>
      <c r="N226" s="7">
        <v>10</v>
      </c>
      <c r="O226" s="16">
        <f t="shared" si="18"/>
        <v>17306.03</v>
      </c>
      <c r="P226" s="18">
        <f t="shared" si="19"/>
        <v>1730.6030000000001</v>
      </c>
      <c r="Q226" s="18">
        <f t="shared" si="20"/>
        <v>15575.427</v>
      </c>
      <c r="R226" s="14" t="str">
        <f t="shared" si="21"/>
        <v>High Sell</v>
      </c>
      <c r="S226" s="8" t="str">
        <f t="shared" si="22"/>
        <v>High</v>
      </c>
      <c r="T226" s="8" t="str">
        <f t="shared" si="23"/>
        <v>High</v>
      </c>
      <c r="U226" s="8"/>
    </row>
    <row r="227" spans="1:21" ht="14.25" customHeight="1">
      <c r="A227" s="1">
        <v>10263</v>
      </c>
      <c r="B227" s="1">
        <v>1671</v>
      </c>
      <c r="C227" s="2">
        <v>45053</v>
      </c>
      <c r="D227" s="2">
        <v>45059</v>
      </c>
      <c r="E227" s="1" t="s">
        <v>39</v>
      </c>
      <c r="F227" s="1" t="s">
        <v>37</v>
      </c>
      <c r="G227" s="1" t="s">
        <v>29</v>
      </c>
      <c r="H227" s="1" t="s">
        <v>34</v>
      </c>
      <c r="I227" s="1" t="s">
        <v>48</v>
      </c>
      <c r="J227" s="1" t="s">
        <v>62</v>
      </c>
      <c r="K227" s="1" t="s">
        <v>32</v>
      </c>
      <c r="L227" s="1">
        <v>7</v>
      </c>
      <c r="M227" s="1">
        <v>2165.86</v>
      </c>
      <c r="N227" s="7">
        <v>0</v>
      </c>
      <c r="O227" s="16">
        <f t="shared" si="18"/>
        <v>15161.02</v>
      </c>
      <c r="P227" s="18">
        <f t="shared" si="19"/>
        <v>0</v>
      </c>
      <c r="Q227" s="18">
        <f t="shared" si="20"/>
        <v>15161.02</v>
      </c>
      <c r="R227" s="14" t="str">
        <f t="shared" si="21"/>
        <v>High Sell</v>
      </c>
      <c r="S227" s="8" t="str">
        <f t="shared" si="22"/>
        <v>High</v>
      </c>
      <c r="T227" s="8" t="str">
        <f t="shared" si="23"/>
        <v>High</v>
      </c>
      <c r="U227" s="8"/>
    </row>
    <row r="228" spans="1:21" ht="14.25" customHeight="1">
      <c r="A228" s="1">
        <v>10264</v>
      </c>
      <c r="B228" s="1">
        <v>1607</v>
      </c>
      <c r="C228" s="2">
        <v>45086</v>
      </c>
      <c r="D228" s="2">
        <v>45091</v>
      </c>
      <c r="E228" s="1" t="s">
        <v>14</v>
      </c>
      <c r="F228" s="1" t="s">
        <v>15</v>
      </c>
      <c r="G228" s="1" t="s">
        <v>29</v>
      </c>
      <c r="H228" s="1" t="s">
        <v>43</v>
      </c>
      <c r="I228" s="1" t="s">
        <v>51</v>
      </c>
      <c r="J228" s="1" t="s">
        <v>59</v>
      </c>
      <c r="K228" s="1" t="s">
        <v>46</v>
      </c>
      <c r="L228" s="1">
        <v>4</v>
      </c>
      <c r="M228" s="1">
        <v>1126.3</v>
      </c>
      <c r="N228" s="7">
        <v>20</v>
      </c>
      <c r="O228" s="16">
        <f t="shared" si="18"/>
        <v>4505.2</v>
      </c>
      <c r="P228" s="18">
        <f t="shared" si="19"/>
        <v>901.04</v>
      </c>
      <c r="Q228" s="18">
        <f t="shared" si="20"/>
        <v>3604.16</v>
      </c>
      <c r="R228" s="14" t="str">
        <f t="shared" si="21"/>
        <v>Low Sell</v>
      </c>
      <c r="S228" s="8" t="str">
        <f t="shared" si="22"/>
        <v>Low</v>
      </c>
      <c r="T228" s="8" t="str">
        <f t="shared" si="23"/>
        <v>Low</v>
      </c>
      <c r="U228" s="8"/>
    </row>
    <row r="229" spans="1:21" ht="14.25" customHeight="1">
      <c r="A229" s="1">
        <v>10266</v>
      </c>
      <c r="B229" s="1">
        <v>1232</v>
      </c>
      <c r="C229" s="2">
        <v>45129</v>
      </c>
      <c r="D229" s="2">
        <v>45134</v>
      </c>
      <c r="E229" s="1" t="s">
        <v>39</v>
      </c>
      <c r="F229" s="1" t="s">
        <v>15</v>
      </c>
      <c r="G229" s="1" t="s">
        <v>29</v>
      </c>
      <c r="H229" s="1" t="s">
        <v>34</v>
      </c>
      <c r="I229" s="1" t="s">
        <v>25</v>
      </c>
      <c r="J229" s="1" t="s">
        <v>60</v>
      </c>
      <c r="K229" s="1" t="s">
        <v>32</v>
      </c>
      <c r="L229" s="1">
        <v>8</v>
      </c>
      <c r="M229" s="1">
        <v>2045.09</v>
      </c>
      <c r="N229" s="7">
        <v>10</v>
      </c>
      <c r="O229" s="16">
        <f t="shared" si="18"/>
        <v>16360.72</v>
      </c>
      <c r="P229" s="18">
        <f t="shared" si="19"/>
        <v>1636.0720000000001</v>
      </c>
      <c r="Q229" s="18">
        <f t="shared" si="20"/>
        <v>14724.647999999999</v>
      </c>
      <c r="R229" s="14" t="str">
        <f t="shared" si="21"/>
        <v>High Sell</v>
      </c>
      <c r="S229" s="8" t="str">
        <f t="shared" si="22"/>
        <v>High</v>
      </c>
      <c r="T229" s="8" t="str">
        <f t="shared" si="23"/>
        <v>High</v>
      </c>
      <c r="U229" s="8"/>
    </row>
    <row r="230" spans="1:21" ht="14.25" customHeight="1">
      <c r="A230" s="1">
        <v>10267</v>
      </c>
      <c r="B230" s="1">
        <v>1691</v>
      </c>
      <c r="C230" s="2">
        <v>45074</v>
      </c>
      <c r="D230" s="2">
        <v>45079</v>
      </c>
      <c r="E230" s="1" t="s">
        <v>39</v>
      </c>
      <c r="F230" s="1" t="s">
        <v>37</v>
      </c>
      <c r="G230" s="1" t="s">
        <v>29</v>
      </c>
      <c r="H230" s="1" t="s">
        <v>43</v>
      </c>
      <c r="I230" s="1" t="s">
        <v>51</v>
      </c>
      <c r="J230" s="1" t="s">
        <v>52</v>
      </c>
      <c r="K230" s="1" t="s">
        <v>46</v>
      </c>
      <c r="L230" s="1">
        <v>1</v>
      </c>
      <c r="M230" s="1">
        <v>900.78</v>
      </c>
      <c r="N230" s="7">
        <v>5</v>
      </c>
      <c r="O230" s="16">
        <f t="shared" si="18"/>
        <v>900.78</v>
      </c>
      <c r="P230" s="18">
        <f t="shared" si="19"/>
        <v>45.039000000000001</v>
      </c>
      <c r="Q230" s="18">
        <f t="shared" si="20"/>
        <v>855.74099999999999</v>
      </c>
      <c r="R230" s="14" t="str">
        <f t="shared" si="21"/>
        <v>Low Sell</v>
      </c>
      <c r="S230" s="8" t="str">
        <f t="shared" si="22"/>
        <v>Low</v>
      </c>
      <c r="T230" s="8" t="str">
        <f t="shared" si="23"/>
        <v>Low</v>
      </c>
      <c r="U230" s="8"/>
    </row>
    <row r="231" spans="1:21" ht="14.25" customHeight="1">
      <c r="A231" s="1">
        <v>10268</v>
      </c>
      <c r="B231" s="1">
        <v>1112</v>
      </c>
      <c r="C231" s="2">
        <v>45069</v>
      </c>
      <c r="D231" s="2">
        <v>45072</v>
      </c>
      <c r="E231" s="1" t="s">
        <v>36</v>
      </c>
      <c r="F231" s="1" t="s">
        <v>15</v>
      </c>
      <c r="G231" s="1" t="s">
        <v>29</v>
      </c>
      <c r="H231" s="1" t="s">
        <v>41</v>
      </c>
      <c r="I231" s="1" t="s">
        <v>30</v>
      </c>
      <c r="J231" s="1" t="s">
        <v>38</v>
      </c>
      <c r="K231" s="1" t="s">
        <v>27</v>
      </c>
      <c r="L231" s="1">
        <v>1</v>
      </c>
      <c r="M231" s="1">
        <v>2660.56</v>
      </c>
      <c r="N231" s="7">
        <v>10</v>
      </c>
      <c r="O231" s="16">
        <f t="shared" si="18"/>
        <v>2660.56</v>
      </c>
      <c r="P231" s="18">
        <f t="shared" si="19"/>
        <v>266.05599999999998</v>
      </c>
      <c r="Q231" s="18">
        <f t="shared" si="20"/>
        <v>2394.5039999999999</v>
      </c>
      <c r="R231" s="14" t="str">
        <f t="shared" si="21"/>
        <v>Low Sell</v>
      </c>
      <c r="S231" s="8" t="str">
        <f t="shared" si="22"/>
        <v>Low</v>
      </c>
      <c r="T231" s="8" t="str">
        <f t="shared" si="23"/>
        <v>Low</v>
      </c>
      <c r="U231" s="8"/>
    </row>
    <row r="232" spans="1:21" ht="14.25" customHeight="1">
      <c r="A232" s="1">
        <v>10269</v>
      </c>
      <c r="B232" s="1">
        <v>1829</v>
      </c>
      <c r="C232" s="2">
        <v>45125</v>
      </c>
      <c r="D232" s="2">
        <v>45132</v>
      </c>
      <c r="E232" s="1" t="s">
        <v>14</v>
      </c>
      <c r="F232" s="1" t="s">
        <v>40</v>
      </c>
      <c r="G232" s="1" t="s">
        <v>23</v>
      </c>
      <c r="H232" s="1" t="s">
        <v>34</v>
      </c>
      <c r="I232" s="1" t="s">
        <v>48</v>
      </c>
      <c r="J232" s="1" t="s">
        <v>50</v>
      </c>
      <c r="K232" s="1" t="s">
        <v>46</v>
      </c>
      <c r="L232" s="1">
        <v>5</v>
      </c>
      <c r="M232" s="1">
        <v>3156.54</v>
      </c>
      <c r="N232" s="7">
        <v>20</v>
      </c>
      <c r="O232" s="16">
        <f t="shared" si="18"/>
        <v>15782.7</v>
      </c>
      <c r="P232" s="18">
        <f t="shared" si="19"/>
        <v>3156.5400000000004</v>
      </c>
      <c r="Q232" s="18">
        <f t="shared" si="20"/>
        <v>12626.16</v>
      </c>
      <c r="R232" s="14" t="str">
        <f t="shared" si="21"/>
        <v>High Sell</v>
      </c>
      <c r="S232" s="8" t="str">
        <f t="shared" si="22"/>
        <v>Medium</v>
      </c>
      <c r="T232" s="8" t="str">
        <f t="shared" si="23"/>
        <v>Medium</v>
      </c>
      <c r="U232" s="8"/>
    </row>
    <row r="233" spans="1:21" ht="14.25" customHeight="1">
      <c r="A233" s="1">
        <v>10270</v>
      </c>
      <c r="B233" s="1">
        <v>1496</v>
      </c>
      <c r="C233" s="2">
        <v>45080</v>
      </c>
      <c r="D233" s="2">
        <v>45086</v>
      </c>
      <c r="E233" s="1" t="s">
        <v>21</v>
      </c>
      <c r="F233" s="1" t="s">
        <v>28</v>
      </c>
      <c r="G233" s="1" t="s">
        <v>23</v>
      </c>
      <c r="H233" s="1" t="s">
        <v>34</v>
      </c>
      <c r="I233" s="1" t="s">
        <v>30</v>
      </c>
      <c r="J233" s="1" t="s">
        <v>64</v>
      </c>
      <c r="K233" s="1" t="s">
        <v>44</v>
      </c>
      <c r="L233" s="1">
        <v>6</v>
      </c>
      <c r="M233" s="1">
        <v>3197.13</v>
      </c>
      <c r="N233" s="7">
        <v>10</v>
      </c>
      <c r="O233" s="16">
        <f t="shared" si="18"/>
        <v>19182.78</v>
      </c>
      <c r="P233" s="18">
        <f t="shared" si="19"/>
        <v>1918.278</v>
      </c>
      <c r="Q233" s="18">
        <f t="shared" si="20"/>
        <v>17264.502</v>
      </c>
      <c r="R233" s="14" t="str">
        <f t="shared" si="21"/>
        <v>High Sell</v>
      </c>
      <c r="S233" s="8" t="str">
        <f t="shared" si="22"/>
        <v>High</v>
      </c>
      <c r="T233" s="8" t="str">
        <f t="shared" si="23"/>
        <v>High</v>
      </c>
      <c r="U233" s="8"/>
    </row>
    <row r="234" spans="1:21" ht="14.25" customHeight="1">
      <c r="A234" s="1">
        <v>10271</v>
      </c>
      <c r="B234" s="1">
        <v>1441</v>
      </c>
      <c r="C234" s="2">
        <v>45068</v>
      </c>
      <c r="D234" s="2">
        <v>45072</v>
      </c>
      <c r="E234" s="1" t="s">
        <v>39</v>
      </c>
      <c r="F234" s="1" t="s">
        <v>15</v>
      </c>
      <c r="G234" s="1" t="s">
        <v>29</v>
      </c>
      <c r="H234" s="1" t="s">
        <v>24</v>
      </c>
      <c r="I234" s="1" t="s">
        <v>18</v>
      </c>
      <c r="J234" s="1" t="s">
        <v>68</v>
      </c>
      <c r="K234" s="1" t="s">
        <v>46</v>
      </c>
      <c r="L234" s="1">
        <v>3</v>
      </c>
      <c r="M234" s="1">
        <v>2469.5100000000002</v>
      </c>
      <c r="N234" s="7">
        <v>0</v>
      </c>
      <c r="O234" s="16">
        <f t="shared" si="18"/>
        <v>7408.5300000000007</v>
      </c>
      <c r="P234" s="18">
        <f t="shared" si="19"/>
        <v>0</v>
      </c>
      <c r="Q234" s="18">
        <f t="shared" si="20"/>
        <v>7408.5300000000007</v>
      </c>
      <c r="R234" s="14" t="str">
        <f t="shared" si="21"/>
        <v>Low Sell</v>
      </c>
      <c r="S234" s="8" t="str">
        <f t="shared" si="22"/>
        <v>Low</v>
      </c>
      <c r="T234" s="8" t="str">
        <f t="shared" si="23"/>
        <v>Low</v>
      </c>
      <c r="U234" s="8"/>
    </row>
    <row r="235" spans="1:21" ht="14.25" customHeight="1">
      <c r="A235" s="1">
        <v>10273</v>
      </c>
      <c r="B235" s="1">
        <v>1267</v>
      </c>
      <c r="C235" s="2">
        <v>45091</v>
      </c>
      <c r="D235" s="2">
        <v>45100</v>
      </c>
      <c r="E235" s="1" t="s">
        <v>45</v>
      </c>
      <c r="F235" s="1" t="s">
        <v>53</v>
      </c>
      <c r="G235" s="1" t="s">
        <v>29</v>
      </c>
      <c r="H235" s="1" t="s">
        <v>17</v>
      </c>
      <c r="I235" s="1" t="s">
        <v>30</v>
      </c>
      <c r="J235" s="1" t="s">
        <v>38</v>
      </c>
      <c r="K235" s="1" t="s">
        <v>44</v>
      </c>
      <c r="L235" s="1">
        <v>6</v>
      </c>
      <c r="M235" s="1">
        <v>384.88</v>
      </c>
      <c r="N235" s="7">
        <v>5</v>
      </c>
      <c r="O235" s="16">
        <f t="shared" si="18"/>
        <v>2309.2799999999997</v>
      </c>
      <c r="P235" s="18">
        <f t="shared" si="19"/>
        <v>115.464</v>
      </c>
      <c r="Q235" s="18">
        <f t="shared" si="20"/>
        <v>2193.8159999999998</v>
      </c>
      <c r="R235" s="14" t="str">
        <f t="shared" si="21"/>
        <v>High Sell</v>
      </c>
      <c r="S235" s="8" t="str">
        <f t="shared" si="22"/>
        <v>High</v>
      </c>
      <c r="T235" s="8" t="str">
        <f t="shared" si="23"/>
        <v>High</v>
      </c>
      <c r="U235" s="8"/>
    </row>
    <row r="236" spans="1:21" ht="14.25" customHeight="1">
      <c r="A236" s="1">
        <v>10274</v>
      </c>
      <c r="B236" s="1">
        <v>1509</v>
      </c>
      <c r="C236" s="2">
        <v>45240</v>
      </c>
      <c r="D236" s="2">
        <v>45241</v>
      </c>
      <c r="E236" s="1" t="s">
        <v>36</v>
      </c>
      <c r="F236" s="1" t="s">
        <v>15</v>
      </c>
      <c r="G236" s="1" t="s">
        <v>23</v>
      </c>
      <c r="H236" s="1" t="s">
        <v>43</v>
      </c>
      <c r="I236" s="1" t="s">
        <v>51</v>
      </c>
      <c r="J236" s="1" t="s">
        <v>59</v>
      </c>
      <c r="K236" s="1" t="s">
        <v>32</v>
      </c>
      <c r="L236" s="1">
        <v>4</v>
      </c>
      <c r="M236" s="1">
        <v>1258.1500000000001</v>
      </c>
      <c r="N236" s="7">
        <v>0</v>
      </c>
      <c r="O236" s="16">
        <f t="shared" si="18"/>
        <v>5032.6000000000004</v>
      </c>
      <c r="P236" s="18">
        <f t="shared" si="19"/>
        <v>0</v>
      </c>
      <c r="Q236" s="18">
        <f t="shared" si="20"/>
        <v>5032.6000000000004</v>
      </c>
      <c r="R236" s="14" t="str">
        <f t="shared" si="21"/>
        <v>Low Sell</v>
      </c>
      <c r="S236" s="8" t="str">
        <f t="shared" si="22"/>
        <v>Low</v>
      </c>
      <c r="T236" s="8" t="str">
        <f t="shared" si="23"/>
        <v>Low</v>
      </c>
      <c r="U236" s="8"/>
    </row>
    <row r="237" spans="1:21" ht="14.25" customHeight="1">
      <c r="A237" s="1">
        <v>10275</v>
      </c>
      <c r="B237" s="1">
        <v>1806</v>
      </c>
      <c r="C237" s="2">
        <v>44947</v>
      </c>
      <c r="D237" s="2">
        <v>44951</v>
      </c>
      <c r="E237" s="1" t="s">
        <v>15</v>
      </c>
      <c r="F237" s="1" t="s">
        <v>53</v>
      </c>
      <c r="G237" s="1" t="s">
        <v>23</v>
      </c>
      <c r="H237" s="1" t="s">
        <v>24</v>
      </c>
      <c r="I237" s="1" t="s">
        <v>51</v>
      </c>
      <c r="J237" s="1" t="s">
        <v>63</v>
      </c>
      <c r="K237" s="1" t="s">
        <v>32</v>
      </c>
      <c r="L237" s="1">
        <v>7</v>
      </c>
      <c r="M237" s="1">
        <v>509.1</v>
      </c>
      <c r="N237" s="7">
        <v>15</v>
      </c>
      <c r="O237" s="16">
        <f t="shared" si="18"/>
        <v>3563.7000000000003</v>
      </c>
      <c r="P237" s="18">
        <f t="shared" si="19"/>
        <v>534.55500000000006</v>
      </c>
      <c r="Q237" s="18">
        <f t="shared" si="20"/>
        <v>3029.1450000000004</v>
      </c>
      <c r="R237" s="14" t="str">
        <f t="shared" si="21"/>
        <v>High Sell</v>
      </c>
      <c r="S237" s="8" t="str">
        <f t="shared" si="22"/>
        <v>High</v>
      </c>
      <c r="T237" s="8" t="str">
        <f t="shared" si="23"/>
        <v>High</v>
      </c>
      <c r="U237" s="8"/>
    </row>
    <row r="238" spans="1:21" ht="14.25" customHeight="1">
      <c r="A238" s="1">
        <v>10277</v>
      </c>
      <c r="B238" s="1">
        <v>1386</v>
      </c>
      <c r="C238" s="2">
        <v>44995</v>
      </c>
      <c r="D238" s="2">
        <v>45001</v>
      </c>
      <c r="E238" s="1" t="s">
        <v>39</v>
      </c>
      <c r="F238" s="1" t="s">
        <v>40</v>
      </c>
      <c r="G238" s="1" t="s">
        <v>29</v>
      </c>
      <c r="H238" s="1" t="s">
        <v>17</v>
      </c>
      <c r="I238" s="1" t="s">
        <v>25</v>
      </c>
      <c r="J238" s="1" t="s">
        <v>67</v>
      </c>
      <c r="K238" s="1" t="s">
        <v>44</v>
      </c>
      <c r="L238" s="1">
        <v>9</v>
      </c>
      <c r="M238" s="1">
        <v>670.06</v>
      </c>
      <c r="N238" s="7">
        <v>20</v>
      </c>
      <c r="O238" s="16">
        <f t="shared" si="18"/>
        <v>6030.5399999999991</v>
      </c>
      <c r="P238" s="18">
        <f t="shared" si="19"/>
        <v>1206.1079999999999</v>
      </c>
      <c r="Q238" s="18">
        <f t="shared" si="20"/>
        <v>4824.4319999999989</v>
      </c>
      <c r="R238" s="14" t="str">
        <f t="shared" si="21"/>
        <v>High Sell</v>
      </c>
      <c r="S238" s="8" t="str">
        <f t="shared" si="22"/>
        <v>High</v>
      </c>
      <c r="T238" s="8" t="str">
        <f t="shared" si="23"/>
        <v>High</v>
      </c>
      <c r="U238" s="8"/>
    </row>
    <row r="239" spans="1:21" ht="14.25" customHeight="1">
      <c r="A239" s="1">
        <v>10280</v>
      </c>
      <c r="B239" s="1">
        <v>1624</v>
      </c>
      <c r="C239" s="2">
        <v>45144</v>
      </c>
      <c r="D239" s="2">
        <v>45149</v>
      </c>
      <c r="E239" s="1" t="s">
        <v>45</v>
      </c>
      <c r="F239" s="1" t="s">
        <v>40</v>
      </c>
      <c r="G239" s="1" t="s">
        <v>23</v>
      </c>
      <c r="H239" s="1" t="s">
        <v>17</v>
      </c>
      <c r="I239" s="1" t="s">
        <v>48</v>
      </c>
      <c r="J239" s="1" t="s">
        <v>66</v>
      </c>
      <c r="K239" s="1" t="s">
        <v>32</v>
      </c>
      <c r="L239" s="1">
        <v>8</v>
      </c>
      <c r="M239" s="1">
        <v>3784.12</v>
      </c>
      <c r="N239" s="7">
        <v>15</v>
      </c>
      <c r="O239" s="16">
        <f t="shared" si="18"/>
        <v>30272.959999999999</v>
      </c>
      <c r="P239" s="18">
        <f t="shared" si="19"/>
        <v>4540.9439999999995</v>
      </c>
      <c r="Q239" s="18">
        <f t="shared" si="20"/>
        <v>25732.016</v>
      </c>
      <c r="R239" s="14" t="str">
        <f t="shared" si="21"/>
        <v>High Sell</v>
      </c>
      <c r="S239" s="8" t="str">
        <f t="shared" si="22"/>
        <v>High</v>
      </c>
      <c r="T239" s="8" t="str">
        <f t="shared" si="23"/>
        <v>High</v>
      </c>
      <c r="U239" s="8"/>
    </row>
    <row r="240" spans="1:21" ht="14.25" customHeight="1">
      <c r="A240" s="1">
        <v>10281</v>
      </c>
      <c r="B240" s="1">
        <v>1951</v>
      </c>
      <c r="C240" s="2">
        <v>45231</v>
      </c>
      <c r="D240" s="2">
        <v>45240</v>
      </c>
      <c r="E240" s="1" t="s">
        <v>45</v>
      </c>
      <c r="F240" s="1" t="s">
        <v>53</v>
      </c>
      <c r="G240" s="1" t="s">
        <v>29</v>
      </c>
      <c r="H240" s="1" t="s">
        <v>43</v>
      </c>
      <c r="I240" s="1" t="s">
        <v>25</v>
      </c>
      <c r="J240" s="1" t="s">
        <v>67</v>
      </c>
      <c r="K240" s="1" t="s">
        <v>20</v>
      </c>
      <c r="L240" s="1">
        <v>5</v>
      </c>
      <c r="M240" s="1">
        <v>3098.44</v>
      </c>
      <c r="N240" s="7">
        <v>0</v>
      </c>
      <c r="O240" s="16">
        <f t="shared" si="18"/>
        <v>15492.2</v>
      </c>
      <c r="P240" s="18">
        <f t="shared" si="19"/>
        <v>0</v>
      </c>
      <c r="Q240" s="18">
        <f t="shared" si="20"/>
        <v>15492.2</v>
      </c>
      <c r="R240" s="14" t="str">
        <f t="shared" si="21"/>
        <v>High Sell</v>
      </c>
      <c r="S240" s="8" t="str">
        <f t="shared" si="22"/>
        <v>Medium</v>
      </c>
      <c r="T240" s="8" t="str">
        <f t="shared" si="23"/>
        <v>Medium</v>
      </c>
      <c r="U240" s="8"/>
    </row>
    <row r="241" spans="1:21" ht="14.25" customHeight="1">
      <c r="A241" s="1">
        <v>10286</v>
      </c>
      <c r="B241" s="1">
        <v>1641</v>
      </c>
      <c r="C241" s="2">
        <v>45043</v>
      </c>
      <c r="D241" s="2">
        <v>45050</v>
      </c>
      <c r="E241" s="1" t="s">
        <v>14</v>
      </c>
      <c r="F241" s="1" t="s">
        <v>28</v>
      </c>
      <c r="G241" s="1" t="s">
        <v>16</v>
      </c>
      <c r="H241" s="1" t="s">
        <v>43</v>
      </c>
      <c r="I241" s="1" t="s">
        <v>56</v>
      </c>
      <c r="J241" s="1" t="s">
        <v>57</v>
      </c>
      <c r="K241" s="1" t="s">
        <v>27</v>
      </c>
      <c r="L241" s="1">
        <v>6</v>
      </c>
      <c r="M241" s="1">
        <v>220.79</v>
      </c>
      <c r="N241" s="7">
        <v>5</v>
      </c>
      <c r="O241" s="16">
        <f t="shared" si="18"/>
        <v>1324.74</v>
      </c>
      <c r="P241" s="18">
        <f t="shared" si="19"/>
        <v>66.237000000000009</v>
      </c>
      <c r="Q241" s="18">
        <f t="shared" si="20"/>
        <v>1258.5029999999999</v>
      </c>
      <c r="R241" s="14" t="str">
        <f t="shared" si="21"/>
        <v>High Sell</v>
      </c>
      <c r="S241" s="8" t="str">
        <f t="shared" si="22"/>
        <v>High</v>
      </c>
      <c r="T241" s="8" t="str">
        <f t="shared" si="23"/>
        <v>High</v>
      </c>
      <c r="U241" s="8"/>
    </row>
    <row r="242" spans="1:21" ht="14.25" customHeight="1">
      <c r="A242" s="1">
        <v>10287</v>
      </c>
      <c r="B242" s="1">
        <v>1219</v>
      </c>
      <c r="C242" s="2">
        <v>45122</v>
      </c>
      <c r="D242" s="2">
        <v>45125</v>
      </c>
      <c r="E242" s="1" t="s">
        <v>21</v>
      </c>
      <c r="F242" s="1" t="s">
        <v>37</v>
      </c>
      <c r="G242" s="1" t="s">
        <v>23</v>
      </c>
      <c r="H242" s="1" t="s">
        <v>17</v>
      </c>
      <c r="I242" s="1" t="s">
        <v>56</v>
      </c>
      <c r="J242" s="1" t="s">
        <v>65</v>
      </c>
      <c r="K242" s="1" t="s">
        <v>20</v>
      </c>
      <c r="L242" s="1">
        <v>6</v>
      </c>
      <c r="M242" s="1">
        <v>1936.66</v>
      </c>
      <c r="N242" s="7">
        <v>0</v>
      </c>
      <c r="O242" s="16">
        <f t="shared" si="18"/>
        <v>11619.960000000001</v>
      </c>
      <c r="P242" s="18">
        <f t="shared" si="19"/>
        <v>0</v>
      </c>
      <c r="Q242" s="18">
        <f t="shared" si="20"/>
        <v>11619.960000000001</v>
      </c>
      <c r="R242" s="14" t="str">
        <f t="shared" si="21"/>
        <v>High Sell</v>
      </c>
      <c r="S242" s="8" t="str">
        <f t="shared" si="22"/>
        <v>High</v>
      </c>
      <c r="T242" s="8" t="str">
        <f t="shared" si="23"/>
        <v>High</v>
      </c>
      <c r="U242" s="8"/>
    </row>
    <row r="243" spans="1:21" ht="14.25" customHeight="1">
      <c r="A243" s="1">
        <v>10289</v>
      </c>
      <c r="B243" s="1">
        <v>1854</v>
      </c>
      <c r="C243" s="2">
        <v>45012</v>
      </c>
      <c r="D243" s="2">
        <v>45014</v>
      </c>
      <c r="E243" s="1" t="s">
        <v>36</v>
      </c>
      <c r="F243" s="1" t="s">
        <v>53</v>
      </c>
      <c r="G243" s="1" t="s">
        <v>16</v>
      </c>
      <c r="H243" s="1" t="s">
        <v>24</v>
      </c>
      <c r="I243" s="1" t="s">
        <v>56</v>
      </c>
      <c r="J243" s="1" t="s">
        <v>57</v>
      </c>
      <c r="K243" s="1" t="s">
        <v>20</v>
      </c>
      <c r="L243" s="1">
        <v>7</v>
      </c>
      <c r="M243" s="1">
        <v>1396.71</v>
      </c>
      <c r="N243" s="7">
        <v>20</v>
      </c>
      <c r="O243" s="16">
        <f t="shared" si="18"/>
        <v>9776.9700000000012</v>
      </c>
      <c r="P243" s="18">
        <f t="shared" si="19"/>
        <v>1955.3940000000002</v>
      </c>
      <c r="Q243" s="18">
        <f t="shared" si="20"/>
        <v>7821.5760000000009</v>
      </c>
      <c r="R243" s="14" t="str">
        <f t="shared" si="21"/>
        <v>High Sell</v>
      </c>
      <c r="S243" s="8" t="str">
        <f t="shared" si="22"/>
        <v>High</v>
      </c>
      <c r="T243" s="8" t="str">
        <f t="shared" si="23"/>
        <v>High</v>
      </c>
      <c r="U243" s="8"/>
    </row>
    <row r="244" spans="1:21" ht="14.25" customHeight="1">
      <c r="A244" s="1">
        <v>10290</v>
      </c>
      <c r="B244" s="1">
        <v>1996</v>
      </c>
      <c r="C244" s="2">
        <v>45215</v>
      </c>
      <c r="D244" s="2">
        <v>45218</v>
      </c>
      <c r="E244" s="1" t="s">
        <v>36</v>
      </c>
      <c r="F244" s="1" t="s">
        <v>40</v>
      </c>
      <c r="G244" s="1" t="s">
        <v>29</v>
      </c>
      <c r="H244" s="1" t="s">
        <v>17</v>
      </c>
      <c r="I244" s="1" t="s">
        <v>18</v>
      </c>
      <c r="J244" s="1" t="s">
        <v>19</v>
      </c>
      <c r="K244" s="1" t="s">
        <v>27</v>
      </c>
      <c r="L244" s="1">
        <v>8</v>
      </c>
      <c r="M244" s="1">
        <v>2695.39</v>
      </c>
      <c r="N244" s="7">
        <v>10</v>
      </c>
      <c r="O244" s="16">
        <f t="shared" si="18"/>
        <v>21563.119999999999</v>
      </c>
      <c r="P244" s="18">
        <f t="shared" si="19"/>
        <v>2156.3119999999999</v>
      </c>
      <c r="Q244" s="18">
        <f t="shared" si="20"/>
        <v>19406.807999999997</v>
      </c>
      <c r="R244" s="14" t="str">
        <f t="shared" si="21"/>
        <v>High Sell</v>
      </c>
      <c r="S244" s="8" t="str">
        <f t="shared" si="22"/>
        <v>High</v>
      </c>
      <c r="T244" s="8" t="str">
        <f t="shared" si="23"/>
        <v>High</v>
      </c>
      <c r="U244" s="8"/>
    </row>
    <row r="245" spans="1:21" ht="14.25" customHeight="1">
      <c r="A245" s="1">
        <v>10291</v>
      </c>
      <c r="B245" s="1">
        <v>1735</v>
      </c>
      <c r="C245" s="2">
        <v>45007</v>
      </c>
      <c r="D245" s="2">
        <v>45008</v>
      </c>
      <c r="E245" s="1" t="s">
        <v>14</v>
      </c>
      <c r="F245" s="1" t="s">
        <v>53</v>
      </c>
      <c r="G245" s="1" t="s">
        <v>23</v>
      </c>
      <c r="H245" s="1" t="s">
        <v>24</v>
      </c>
      <c r="I245" s="1" t="s">
        <v>51</v>
      </c>
      <c r="J245" s="1" t="s">
        <v>52</v>
      </c>
      <c r="K245" s="1" t="s">
        <v>32</v>
      </c>
      <c r="L245" s="1">
        <v>9</v>
      </c>
      <c r="M245" s="1">
        <v>2661.11</v>
      </c>
      <c r="N245" s="7">
        <v>10</v>
      </c>
      <c r="O245" s="16">
        <f t="shared" si="18"/>
        <v>23949.99</v>
      </c>
      <c r="P245" s="18">
        <f t="shared" si="19"/>
        <v>2394.9990000000003</v>
      </c>
      <c r="Q245" s="18">
        <f t="shared" si="20"/>
        <v>21554.991000000002</v>
      </c>
      <c r="R245" s="14" t="str">
        <f t="shared" si="21"/>
        <v>High Sell</v>
      </c>
      <c r="S245" s="8" t="str">
        <f t="shared" si="22"/>
        <v>High</v>
      </c>
      <c r="T245" s="8" t="str">
        <f t="shared" si="23"/>
        <v>High</v>
      </c>
      <c r="U245" s="8"/>
    </row>
    <row r="246" spans="1:21" ht="14.25" customHeight="1">
      <c r="A246" s="1">
        <v>10294</v>
      </c>
      <c r="B246" s="1">
        <v>1402</v>
      </c>
      <c r="C246" s="2">
        <v>44987</v>
      </c>
      <c r="D246" s="2">
        <v>44994</v>
      </c>
      <c r="E246" s="1" t="s">
        <v>21</v>
      </c>
      <c r="F246" s="1" t="s">
        <v>15</v>
      </c>
      <c r="G246" s="1" t="s">
        <v>23</v>
      </c>
      <c r="H246" s="1" t="s">
        <v>34</v>
      </c>
      <c r="I246" s="1" t="s">
        <v>18</v>
      </c>
      <c r="J246" s="1" t="s">
        <v>42</v>
      </c>
      <c r="K246" s="1" t="s">
        <v>44</v>
      </c>
      <c r="L246" s="1">
        <v>3</v>
      </c>
      <c r="M246" s="1">
        <v>967.49</v>
      </c>
      <c r="N246" s="7">
        <v>0</v>
      </c>
      <c r="O246" s="16">
        <f t="shared" si="18"/>
        <v>2902.4700000000003</v>
      </c>
      <c r="P246" s="18">
        <f t="shared" si="19"/>
        <v>0</v>
      </c>
      <c r="Q246" s="18">
        <f t="shared" si="20"/>
        <v>2902.4700000000003</v>
      </c>
      <c r="R246" s="14" t="str">
        <f t="shared" si="21"/>
        <v>Low Sell</v>
      </c>
      <c r="S246" s="8" t="str">
        <f t="shared" si="22"/>
        <v>Low</v>
      </c>
      <c r="T246" s="8" t="str">
        <f t="shared" si="23"/>
        <v>Low</v>
      </c>
      <c r="U246" s="8"/>
    </row>
    <row r="247" spans="1:21" ht="14.25" customHeight="1">
      <c r="A247" s="1">
        <v>10295</v>
      </c>
      <c r="B247" s="1">
        <v>1637</v>
      </c>
      <c r="C247" s="2">
        <v>45280</v>
      </c>
      <c r="D247" s="2">
        <v>45284</v>
      </c>
      <c r="E247" s="1" t="s">
        <v>33</v>
      </c>
      <c r="F247" s="1" t="s">
        <v>22</v>
      </c>
      <c r="G247" s="1" t="s">
        <v>23</v>
      </c>
      <c r="H247" s="1" t="s">
        <v>41</v>
      </c>
      <c r="I247" s="1" t="s">
        <v>30</v>
      </c>
      <c r="J247" s="1" t="s">
        <v>47</v>
      </c>
      <c r="K247" s="1" t="s">
        <v>32</v>
      </c>
      <c r="L247" s="1">
        <v>1</v>
      </c>
      <c r="M247" s="1">
        <v>619.73</v>
      </c>
      <c r="N247" s="7">
        <v>0</v>
      </c>
      <c r="O247" s="16">
        <f t="shared" si="18"/>
        <v>619.73</v>
      </c>
      <c r="P247" s="18">
        <f t="shared" si="19"/>
        <v>0</v>
      </c>
      <c r="Q247" s="18">
        <f t="shared" si="20"/>
        <v>619.73</v>
      </c>
      <c r="R247" s="14" t="str">
        <f t="shared" si="21"/>
        <v>Low Sell</v>
      </c>
      <c r="S247" s="8" t="str">
        <f t="shared" si="22"/>
        <v>Low</v>
      </c>
      <c r="T247" s="8" t="str">
        <f t="shared" si="23"/>
        <v>Low</v>
      </c>
      <c r="U247" s="8"/>
    </row>
    <row r="248" spans="1:21" ht="14.25" customHeight="1">
      <c r="A248" s="1">
        <v>10296</v>
      </c>
      <c r="B248" s="1">
        <v>1129</v>
      </c>
      <c r="C248" s="2">
        <v>44954</v>
      </c>
      <c r="D248" s="2">
        <v>44957</v>
      </c>
      <c r="E248" s="1" t="s">
        <v>15</v>
      </c>
      <c r="F248" s="1" t="s">
        <v>15</v>
      </c>
      <c r="G248" s="1" t="s">
        <v>16</v>
      </c>
      <c r="H248" s="1" t="s">
        <v>34</v>
      </c>
      <c r="I248" s="1" t="s">
        <v>30</v>
      </c>
      <c r="J248" s="1" t="s">
        <v>47</v>
      </c>
      <c r="K248" s="1" t="s">
        <v>46</v>
      </c>
      <c r="L248" s="1">
        <v>5</v>
      </c>
      <c r="M248" s="1">
        <v>2850.33</v>
      </c>
      <c r="N248" s="7">
        <v>5</v>
      </c>
      <c r="O248" s="16">
        <f t="shared" si="18"/>
        <v>14251.65</v>
      </c>
      <c r="P248" s="18">
        <f t="shared" si="19"/>
        <v>712.58249999999998</v>
      </c>
      <c r="Q248" s="18">
        <f t="shared" si="20"/>
        <v>13539.067499999999</v>
      </c>
      <c r="R248" s="14" t="str">
        <f t="shared" si="21"/>
        <v>High Sell</v>
      </c>
      <c r="S248" s="8" t="str">
        <f t="shared" si="22"/>
        <v>Medium</v>
      </c>
      <c r="T248" s="8" t="str">
        <f t="shared" si="23"/>
        <v>Medium</v>
      </c>
      <c r="U248" s="8"/>
    </row>
    <row r="249" spans="1:21" ht="14.25" customHeight="1">
      <c r="A249" s="1">
        <v>10302</v>
      </c>
      <c r="B249" s="1">
        <v>1415</v>
      </c>
      <c r="C249" s="2">
        <v>45024</v>
      </c>
      <c r="D249" s="2">
        <v>45027</v>
      </c>
      <c r="E249" s="1" t="s">
        <v>15</v>
      </c>
      <c r="F249" s="1" t="s">
        <v>28</v>
      </c>
      <c r="G249" s="1" t="s">
        <v>23</v>
      </c>
      <c r="H249" s="1" t="s">
        <v>17</v>
      </c>
      <c r="I249" s="1" t="s">
        <v>30</v>
      </c>
      <c r="J249" s="1" t="s">
        <v>64</v>
      </c>
      <c r="K249" s="1" t="s">
        <v>32</v>
      </c>
      <c r="L249" s="1">
        <v>7</v>
      </c>
      <c r="M249" s="1">
        <v>636.59</v>
      </c>
      <c r="N249" s="7">
        <v>5</v>
      </c>
      <c r="O249" s="16">
        <f t="shared" si="18"/>
        <v>4456.13</v>
      </c>
      <c r="P249" s="18">
        <f t="shared" si="19"/>
        <v>222.80650000000003</v>
      </c>
      <c r="Q249" s="18">
        <f t="shared" si="20"/>
        <v>4233.3235000000004</v>
      </c>
      <c r="R249" s="14" t="str">
        <f t="shared" si="21"/>
        <v>High Sell</v>
      </c>
      <c r="S249" s="8" t="str">
        <f t="shared" si="22"/>
        <v>High</v>
      </c>
      <c r="T249" s="8" t="str">
        <f t="shared" si="23"/>
        <v>High</v>
      </c>
      <c r="U249" s="8"/>
    </row>
    <row r="250" spans="1:21" ht="14.25" customHeight="1">
      <c r="A250" s="1">
        <v>10303</v>
      </c>
      <c r="B250" s="1">
        <v>1246</v>
      </c>
      <c r="C250" s="2">
        <v>45124</v>
      </c>
      <c r="D250" s="2">
        <v>45125</v>
      </c>
      <c r="E250" s="1" t="s">
        <v>36</v>
      </c>
      <c r="F250" s="1" t="s">
        <v>28</v>
      </c>
      <c r="G250" s="1" t="s">
        <v>16</v>
      </c>
      <c r="H250" s="1" t="s">
        <v>24</v>
      </c>
      <c r="I250" s="1" t="s">
        <v>56</v>
      </c>
      <c r="J250" s="1" t="s">
        <v>65</v>
      </c>
      <c r="K250" s="1" t="s">
        <v>20</v>
      </c>
      <c r="L250" s="1">
        <v>6</v>
      </c>
      <c r="M250" s="1">
        <v>257.2</v>
      </c>
      <c r="N250" s="7">
        <v>0</v>
      </c>
      <c r="O250" s="16">
        <f t="shared" si="18"/>
        <v>1543.1999999999998</v>
      </c>
      <c r="P250" s="18">
        <f t="shared" si="19"/>
        <v>0</v>
      </c>
      <c r="Q250" s="18">
        <f t="shared" si="20"/>
        <v>1543.1999999999998</v>
      </c>
      <c r="R250" s="14" t="str">
        <f t="shared" si="21"/>
        <v>High Sell</v>
      </c>
      <c r="S250" s="8" t="str">
        <f t="shared" si="22"/>
        <v>High</v>
      </c>
      <c r="T250" s="8" t="str">
        <f t="shared" si="23"/>
        <v>High</v>
      </c>
      <c r="U250" s="8"/>
    </row>
    <row r="251" spans="1:21" ht="14.25" customHeight="1">
      <c r="A251" s="1">
        <v>10304</v>
      </c>
      <c r="B251" s="1">
        <v>1835</v>
      </c>
      <c r="C251" s="2">
        <v>45024</v>
      </c>
      <c r="D251" s="2">
        <v>45027</v>
      </c>
      <c r="E251" s="1" t="s">
        <v>39</v>
      </c>
      <c r="F251" s="1" t="s">
        <v>22</v>
      </c>
      <c r="G251" s="1" t="s">
        <v>23</v>
      </c>
      <c r="H251" s="1" t="s">
        <v>24</v>
      </c>
      <c r="I251" s="1" t="s">
        <v>25</v>
      </c>
      <c r="J251" s="1" t="s">
        <v>60</v>
      </c>
      <c r="K251" s="1" t="s">
        <v>20</v>
      </c>
      <c r="L251" s="1">
        <v>4</v>
      </c>
      <c r="M251" s="1">
        <v>2547.52</v>
      </c>
      <c r="N251" s="7">
        <v>20</v>
      </c>
      <c r="O251" s="16">
        <f t="shared" si="18"/>
        <v>10190.08</v>
      </c>
      <c r="P251" s="18">
        <f t="shared" si="19"/>
        <v>2038.0160000000001</v>
      </c>
      <c r="Q251" s="18">
        <f t="shared" si="20"/>
        <v>8152.0640000000003</v>
      </c>
      <c r="R251" s="14" t="str">
        <f t="shared" si="21"/>
        <v>Low Sell</v>
      </c>
      <c r="S251" s="8" t="str">
        <f t="shared" si="22"/>
        <v>Low</v>
      </c>
      <c r="T251" s="8" t="str">
        <f t="shared" si="23"/>
        <v>Low</v>
      </c>
      <c r="U251" s="8"/>
    </row>
    <row r="252" spans="1:21" ht="14.25" customHeight="1">
      <c r="A252" s="1">
        <v>10305</v>
      </c>
      <c r="B252" s="1">
        <v>1438</v>
      </c>
      <c r="C252" s="2">
        <v>44991</v>
      </c>
      <c r="D252" s="2">
        <v>44993</v>
      </c>
      <c r="E252" s="1" t="s">
        <v>45</v>
      </c>
      <c r="F252" s="1" t="s">
        <v>40</v>
      </c>
      <c r="G252" s="1" t="s">
        <v>16</v>
      </c>
      <c r="H252" s="1" t="s">
        <v>34</v>
      </c>
      <c r="I252" s="1" t="s">
        <v>30</v>
      </c>
      <c r="J252" s="1" t="s">
        <v>47</v>
      </c>
      <c r="K252" s="1" t="s">
        <v>20</v>
      </c>
      <c r="L252" s="1">
        <v>2</v>
      </c>
      <c r="M252" s="1">
        <v>3256.02</v>
      </c>
      <c r="N252" s="7">
        <v>20</v>
      </c>
      <c r="O252" s="16">
        <f t="shared" si="18"/>
        <v>6512.04</v>
      </c>
      <c r="P252" s="18">
        <f t="shared" si="19"/>
        <v>1302.4080000000001</v>
      </c>
      <c r="Q252" s="18">
        <f t="shared" si="20"/>
        <v>5209.6319999999996</v>
      </c>
      <c r="R252" s="14" t="str">
        <f t="shared" si="21"/>
        <v>Low Sell</v>
      </c>
      <c r="S252" s="8" t="str">
        <f t="shared" si="22"/>
        <v>Low</v>
      </c>
      <c r="T252" s="8" t="str">
        <f t="shared" si="23"/>
        <v>Low</v>
      </c>
      <c r="U252" s="8"/>
    </row>
    <row r="253" spans="1:21" ht="14.25" customHeight="1">
      <c r="A253" s="1">
        <v>10306</v>
      </c>
      <c r="B253" s="1">
        <v>1202</v>
      </c>
      <c r="C253" s="2">
        <v>45256</v>
      </c>
      <c r="D253" s="2">
        <v>45264</v>
      </c>
      <c r="E253" s="1" t="s">
        <v>45</v>
      </c>
      <c r="F253" s="1" t="s">
        <v>28</v>
      </c>
      <c r="G253" s="1" t="s">
        <v>29</v>
      </c>
      <c r="H253" s="1" t="s">
        <v>41</v>
      </c>
      <c r="I253" s="1" t="s">
        <v>56</v>
      </c>
      <c r="J253" s="1" t="s">
        <v>61</v>
      </c>
      <c r="K253" s="1" t="s">
        <v>27</v>
      </c>
      <c r="L253" s="1">
        <v>1</v>
      </c>
      <c r="M253" s="1">
        <v>3391.76</v>
      </c>
      <c r="N253" s="7">
        <v>20</v>
      </c>
      <c r="O253" s="16">
        <f t="shared" si="18"/>
        <v>3391.76</v>
      </c>
      <c r="P253" s="18">
        <f t="shared" si="19"/>
        <v>678.35200000000009</v>
      </c>
      <c r="Q253" s="18">
        <f t="shared" si="20"/>
        <v>2713.4080000000004</v>
      </c>
      <c r="R253" s="14" t="str">
        <f t="shared" si="21"/>
        <v>Low Sell</v>
      </c>
      <c r="S253" s="8" t="str">
        <f t="shared" si="22"/>
        <v>Low</v>
      </c>
      <c r="T253" s="8" t="str">
        <f t="shared" si="23"/>
        <v>Low</v>
      </c>
      <c r="U253" s="8"/>
    </row>
    <row r="254" spans="1:21" ht="14.25" customHeight="1">
      <c r="A254" s="1">
        <v>10307</v>
      </c>
      <c r="B254" s="1">
        <v>1183</v>
      </c>
      <c r="C254" s="2">
        <v>45267</v>
      </c>
      <c r="D254" s="2">
        <v>45273</v>
      </c>
      <c r="E254" s="1" t="s">
        <v>14</v>
      </c>
      <c r="F254" s="1" t="s">
        <v>15</v>
      </c>
      <c r="G254" s="1" t="s">
        <v>23</v>
      </c>
      <c r="H254" s="1" t="s">
        <v>41</v>
      </c>
      <c r="I254" s="1" t="s">
        <v>56</v>
      </c>
      <c r="J254" s="1" t="s">
        <v>57</v>
      </c>
      <c r="K254" s="1" t="s">
        <v>27</v>
      </c>
      <c r="L254" s="1">
        <v>4</v>
      </c>
      <c r="M254" s="1">
        <v>2008.45</v>
      </c>
      <c r="N254" s="7">
        <v>5</v>
      </c>
      <c r="O254" s="16">
        <f t="shared" si="18"/>
        <v>8033.8</v>
      </c>
      <c r="P254" s="18">
        <f t="shared" si="19"/>
        <v>401.69000000000005</v>
      </c>
      <c r="Q254" s="18">
        <f t="shared" si="20"/>
        <v>7632.1100000000006</v>
      </c>
      <c r="R254" s="14" t="str">
        <f t="shared" si="21"/>
        <v>Low Sell</v>
      </c>
      <c r="S254" s="8" t="str">
        <f t="shared" si="22"/>
        <v>Low</v>
      </c>
      <c r="T254" s="8" t="str">
        <f t="shared" si="23"/>
        <v>Low</v>
      </c>
      <c r="U254" s="8"/>
    </row>
    <row r="255" spans="1:21" ht="14.25" customHeight="1">
      <c r="A255" s="1">
        <v>10308</v>
      </c>
      <c r="B255" s="1">
        <v>1122</v>
      </c>
      <c r="C255" s="2">
        <v>44931</v>
      </c>
      <c r="D255" s="2">
        <v>44940</v>
      </c>
      <c r="E255" s="1" t="s">
        <v>36</v>
      </c>
      <c r="F255" s="1" t="s">
        <v>22</v>
      </c>
      <c r="G255" s="1" t="s">
        <v>29</v>
      </c>
      <c r="H255" s="1" t="s">
        <v>24</v>
      </c>
      <c r="I255" s="1" t="s">
        <v>51</v>
      </c>
      <c r="J255" s="1" t="s">
        <v>52</v>
      </c>
      <c r="K255" s="1" t="s">
        <v>44</v>
      </c>
      <c r="L255" s="1">
        <v>4</v>
      </c>
      <c r="M255" s="1">
        <v>3143.2</v>
      </c>
      <c r="N255" s="7">
        <v>0</v>
      </c>
      <c r="O255" s="16">
        <f t="shared" si="18"/>
        <v>12572.8</v>
      </c>
      <c r="P255" s="18">
        <f t="shared" si="19"/>
        <v>0</v>
      </c>
      <c r="Q255" s="18">
        <f t="shared" si="20"/>
        <v>12572.8</v>
      </c>
      <c r="R255" s="14" t="str">
        <f t="shared" si="21"/>
        <v>Low Sell</v>
      </c>
      <c r="S255" s="8" t="str">
        <f t="shared" si="22"/>
        <v>Low</v>
      </c>
      <c r="T255" s="8" t="str">
        <f t="shared" si="23"/>
        <v>Low</v>
      </c>
      <c r="U255" s="8"/>
    </row>
    <row r="256" spans="1:21" ht="14.25" customHeight="1">
      <c r="A256" s="1">
        <v>10309</v>
      </c>
      <c r="B256" s="1">
        <v>1400</v>
      </c>
      <c r="C256" s="2">
        <v>44928</v>
      </c>
      <c r="D256" s="2">
        <v>44936</v>
      </c>
      <c r="E256" s="1" t="s">
        <v>33</v>
      </c>
      <c r="F256" s="1" t="s">
        <v>28</v>
      </c>
      <c r="G256" s="1" t="s">
        <v>29</v>
      </c>
      <c r="H256" s="1" t="s">
        <v>43</v>
      </c>
      <c r="I256" s="1" t="s">
        <v>48</v>
      </c>
      <c r="J256" s="1" t="s">
        <v>50</v>
      </c>
      <c r="K256" s="1" t="s">
        <v>46</v>
      </c>
      <c r="L256" s="1">
        <v>1</v>
      </c>
      <c r="M256" s="1">
        <v>2740.46</v>
      </c>
      <c r="N256" s="7">
        <v>10</v>
      </c>
      <c r="O256" s="16">
        <f t="shared" si="18"/>
        <v>2740.46</v>
      </c>
      <c r="P256" s="18">
        <f t="shared" si="19"/>
        <v>274.04599999999999</v>
      </c>
      <c r="Q256" s="18">
        <f t="shared" si="20"/>
        <v>2466.4140000000002</v>
      </c>
      <c r="R256" s="14" t="str">
        <f t="shared" si="21"/>
        <v>Low Sell</v>
      </c>
      <c r="S256" s="8" t="str">
        <f t="shared" si="22"/>
        <v>Low</v>
      </c>
      <c r="T256" s="8" t="str">
        <f t="shared" si="23"/>
        <v>Low</v>
      </c>
      <c r="U256" s="8"/>
    </row>
    <row r="257" spans="1:21" ht="14.25" customHeight="1">
      <c r="A257" s="1">
        <v>10311</v>
      </c>
      <c r="B257" s="1">
        <v>1293</v>
      </c>
      <c r="C257" s="2">
        <v>45038</v>
      </c>
      <c r="D257" s="2">
        <v>45043</v>
      </c>
      <c r="E257" s="1" t="s">
        <v>45</v>
      </c>
      <c r="F257" s="1" t="s">
        <v>22</v>
      </c>
      <c r="G257" s="1" t="s">
        <v>23</v>
      </c>
      <c r="H257" s="1" t="s">
        <v>17</v>
      </c>
      <c r="I257" s="1" t="s">
        <v>18</v>
      </c>
      <c r="J257" s="1" t="s">
        <v>42</v>
      </c>
      <c r="K257" s="1" t="s">
        <v>32</v>
      </c>
      <c r="L257" s="1">
        <v>4</v>
      </c>
      <c r="M257" s="1">
        <v>2046.51</v>
      </c>
      <c r="N257" s="7">
        <v>5</v>
      </c>
      <c r="O257" s="16">
        <f t="shared" si="18"/>
        <v>8186.04</v>
      </c>
      <c r="P257" s="18">
        <f t="shared" si="19"/>
        <v>409.30200000000002</v>
      </c>
      <c r="Q257" s="18">
        <f t="shared" si="20"/>
        <v>7776.7380000000003</v>
      </c>
      <c r="R257" s="14" t="str">
        <f t="shared" si="21"/>
        <v>Low Sell</v>
      </c>
      <c r="S257" s="8" t="str">
        <f t="shared" si="22"/>
        <v>Low</v>
      </c>
      <c r="T257" s="8" t="str">
        <f t="shared" si="23"/>
        <v>Low</v>
      </c>
      <c r="U257" s="8"/>
    </row>
    <row r="258" spans="1:21" ht="14.25" customHeight="1">
      <c r="A258" s="1">
        <v>10312</v>
      </c>
      <c r="B258" s="1">
        <v>1279</v>
      </c>
      <c r="C258" s="2">
        <v>44983</v>
      </c>
      <c r="D258" s="2">
        <v>44990</v>
      </c>
      <c r="E258" s="1" t="s">
        <v>45</v>
      </c>
      <c r="F258" s="1" t="s">
        <v>37</v>
      </c>
      <c r="G258" s="1" t="s">
        <v>29</v>
      </c>
      <c r="H258" s="1" t="s">
        <v>17</v>
      </c>
      <c r="I258" s="1" t="s">
        <v>51</v>
      </c>
      <c r="J258" s="1" t="s">
        <v>55</v>
      </c>
      <c r="K258" s="1" t="s">
        <v>32</v>
      </c>
      <c r="L258" s="1">
        <v>1</v>
      </c>
      <c r="M258" s="1">
        <v>2588.64</v>
      </c>
      <c r="N258" s="7">
        <v>0</v>
      </c>
      <c r="O258" s="16">
        <f t="shared" si="18"/>
        <v>2588.64</v>
      </c>
      <c r="P258" s="18">
        <f t="shared" si="19"/>
        <v>0</v>
      </c>
      <c r="Q258" s="18">
        <f t="shared" si="20"/>
        <v>2588.64</v>
      </c>
      <c r="R258" s="14" t="str">
        <f t="shared" si="21"/>
        <v>Low Sell</v>
      </c>
      <c r="S258" s="8" t="str">
        <f t="shared" si="22"/>
        <v>Low</v>
      </c>
      <c r="T258" s="8" t="str">
        <f t="shared" si="23"/>
        <v>Low</v>
      </c>
      <c r="U258" s="8"/>
    </row>
    <row r="259" spans="1:21" ht="14.25" customHeight="1">
      <c r="A259" s="1">
        <v>10313</v>
      </c>
      <c r="B259" s="1">
        <v>1836</v>
      </c>
      <c r="C259" s="2">
        <v>44992</v>
      </c>
      <c r="D259" s="2">
        <v>44997</v>
      </c>
      <c r="E259" s="1" t="s">
        <v>39</v>
      </c>
      <c r="F259" s="1" t="s">
        <v>40</v>
      </c>
      <c r="G259" s="1" t="s">
        <v>16</v>
      </c>
      <c r="H259" s="1" t="s">
        <v>34</v>
      </c>
      <c r="I259" s="1" t="s">
        <v>56</v>
      </c>
      <c r="J259" s="1" t="s">
        <v>61</v>
      </c>
      <c r="K259" s="1" t="s">
        <v>44</v>
      </c>
      <c r="L259" s="1">
        <v>1</v>
      </c>
      <c r="M259" s="1">
        <v>3251.27</v>
      </c>
      <c r="N259" s="7">
        <v>15</v>
      </c>
      <c r="O259" s="16">
        <f t="shared" ref="O259:O322" si="24">L259*M259</f>
        <v>3251.27</v>
      </c>
      <c r="P259" s="18">
        <f t="shared" ref="P259:P322" si="25">O259*N259%</f>
        <v>487.69049999999999</v>
      </c>
      <c r="Q259" s="18">
        <f t="shared" ref="Q259:Q322" si="26">O259-P259</f>
        <v>2763.5794999999998</v>
      </c>
      <c r="R259" s="14" t="str">
        <f t="shared" ref="R259:R322" si="27">IF(L259&gt;=5, "High Sell", "Low Sell")</f>
        <v>Low Sell</v>
      </c>
      <c r="S259" s="8" t="str">
        <f t="shared" ref="S259:S322" si="28">_xlfn.IFS(L259&lt;5, "Low", L259=5, "Medium", L259&gt;5, "High")</f>
        <v>Low</v>
      </c>
      <c r="T259" s="8" t="str">
        <f t="shared" ref="T259:T322" si="29">IF(L259&gt;5,"High",(IF(L259=5,"Medium","Low")))</f>
        <v>Low</v>
      </c>
      <c r="U259" s="8"/>
    </row>
    <row r="260" spans="1:21" ht="14.25" customHeight="1">
      <c r="A260" s="1">
        <v>10314</v>
      </c>
      <c r="B260" s="1">
        <v>1883</v>
      </c>
      <c r="C260" s="2">
        <v>45256</v>
      </c>
      <c r="D260" s="2">
        <v>45264</v>
      </c>
      <c r="E260" s="1" t="s">
        <v>36</v>
      </c>
      <c r="F260" s="1" t="s">
        <v>15</v>
      </c>
      <c r="G260" s="1" t="s">
        <v>23</v>
      </c>
      <c r="H260" s="1" t="s">
        <v>24</v>
      </c>
      <c r="I260" s="1" t="s">
        <v>25</v>
      </c>
      <c r="J260" s="1" t="s">
        <v>67</v>
      </c>
      <c r="K260" s="1" t="s">
        <v>27</v>
      </c>
      <c r="L260" s="1">
        <v>1</v>
      </c>
      <c r="M260" s="1">
        <v>1681.85</v>
      </c>
      <c r="N260" s="7">
        <v>5</v>
      </c>
      <c r="O260" s="16">
        <f t="shared" si="24"/>
        <v>1681.85</v>
      </c>
      <c r="P260" s="18">
        <f t="shared" si="25"/>
        <v>84.092500000000001</v>
      </c>
      <c r="Q260" s="18">
        <f t="shared" si="26"/>
        <v>1597.7574999999999</v>
      </c>
      <c r="R260" s="14" t="str">
        <f t="shared" si="27"/>
        <v>Low Sell</v>
      </c>
      <c r="S260" s="8" t="str">
        <f t="shared" si="28"/>
        <v>Low</v>
      </c>
      <c r="T260" s="8" t="str">
        <f t="shared" si="29"/>
        <v>Low</v>
      </c>
      <c r="U260" s="8"/>
    </row>
    <row r="261" spans="1:21" ht="14.25" customHeight="1">
      <c r="A261" s="1">
        <v>10315</v>
      </c>
      <c r="B261" s="1">
        <v>1609</v>
      </c>
      <c r="C261" s="2">
        <v>45024</v>
      </c>
      <c r="D261" s="2">
        <v>45029</v>
      </c>
      <c r="E261" s="1" t="s">
        <v>36</v>
      </c>
      <c r="F261" s="1" t="s">
        <v>28</v>
      </c>
      <c r="G261" s="1" t="s">
        <v>23</v>
      </c>
      <c r="H261" s="1" t="s">
        <v>17</v>
      </c>
      <c r="I261" s="1" t="s">
        <v>48</v>
      </c>
      <c r="J261" s="1" t="s">
        <v>49</v>
      </c>
      <c r="K261" s="1" t="s">
        <v>44</v>
      </c>
      <c r="L261" s="1">
        <v>8</v>
      </c>
      <c r="M261" s="1">
        <v>3253.02</v>
      </c>
      <c r="N261" s="7">
        <v>15</v>
      </c>
      <c r="O261" s="16">
        <f t="shared" si="24"/>
        <v>26024.16</v>
      </c>
      <c r="P261" s="18">
        <f t="shared" si="25"/>
        <v>3903.6239999999998</v>
      </c>
      <c r="Q261" s="18">
        <f t="shared" si="26"/>
        <v>22120.536</v>
      </c>
      <c r="R261" s="14" t="str">
        <f t="shared" si="27"/>
        <v>High Sell</v>
      </c>
      <c r="S261" s="8" t="str">
        <f t="shared" si="28"/>
        <v>High</v>
      </c>
      <c r="T261" s="8" t="str">
        <f t="shared" si="29"/>
        <v>High</v>
      </c>
      <c r="U261" s="8"/>
    </row>
    <row r="262" spans="1:21" ht="14.25" customHeight="1">
      <c r="A262" s="1">
        <v>10316</v>
      </c>
      <c r="B262" s="1">
        <v>1197</v>
      </c>
      <c r="C262" s="2">
        <v>45070</v>
      </c>
      <c r="D262" s="2">
        <v>45071</v>
      </c>
      <c r="E262" s="1" t="s">
        <v>45</v>
      </c>
      <c r="F262" s="1" t="s">
        <v>37</v>
      </c>
      <c r="G262" s="1" t="s">
        <v>29</v>
      </c>
      <c r="H262" s="1" t="s">
        <v>17</v>
      </c>
      <c r="I262" s="1" t="s">
        <v>56</v>
      </c>
      <c r="J262" s="1" t="s">
        <v>57</v>
      </c>
      <c r="K262" s="1" t="s">
        <v>32</v>
      </c>
      <c r="L262" s="1">
        <v>8</v>
      </c>
      <c r="M262" s="1">
        <v>2429.2600000000002</v>
      </c>
      <c r="N262" s="7">
        <v>15</v>
      </c>
      <c r="O262" s="16">
        <f t="shared" si="24"/>
        <v>19434.080000000002</v>
      </c>
      <c r="P262" s="18">
        <f t="shared" si="25"/>
        <v>2915.1120000000001</v>
      </c>
      <c r="Q262" s="18">
        <f t="shared" si="26"/>
        <v>16518.968000000001</v>
      </c>
      <c r="R262" s="14" t="str">
        <f t="shared" si="27"/>
        <v>High Sell</v>
      </c>
      <c r="S262" s="8" t="str">
        <f t="shared" si="28"/>
        <v>High</v>
      </c>
      <c r="T262" s="8" t="str">
        <f t="shared" si="29"/>
        <v>High</v>
      </c>
      <c r="U262" s="8"/>
    </row>
    <row r="263" spans="1:21" ht="14.25" customHeight="1">
      <c r="A263" s="1">
        <v>10317</v>
      </c>
      <c r="B263" s="1">
        <v>1981</v>
      </c>
      <c r="C263" s="2">
        <v>45051</v>
      </c>
      <c r="D263" s="2">
        <v>45056</v>
      </c>
      <c r="E263" s="1" t="s">
        <v>33</v>
      </c>
      <c r="F263" s="1" t="s">
        <v>37</v>
      </c>
      <c r="G263" s="1" t="s">
        <v>23</v>
      </c>
      <c r="H263" s="1" t="s">
        <v>24</v>
      </c>
      <c r="I263" s="1" t="s">
        <v>48</v>
      </c>
      <c r="J263" s="1" t="s">
        <v>62</v>
      </c>
      <c r="K263" s="1" t="s">
        <v>46</v>
      </c>
      <c r="L263" s="1">
        <v>2</v>
      </c>
      <c r="M263" s="1">
        <v>788.72</v>
      </c>
      <c r="N263" s="7">
        <v>20</v>
      </c>
      <c r="O263" s="16">
        <f t="shared" si="24"/>
        <v>1577.44</v>
      </c>
      <c r="P263" s="18">
        <f t="shared" si="25"/>
        <v>315.48800000000006</v>
      </c>
      <c r="Q263" s="18">
        <f t="shared" si="26"/>
        <v>1261.952</v>
      </c>
      <c r="R263" s="14" t="str">
        <f t="shared" si="27"/>
        <v>Low Sell</v>
      </c>
      <c r="S263" s="8" t="str">
        <f t="shared" si="28"/>
        <v>Low</v>
      </c>
      <c r="T263" s="8" t="str">
        <f t="shared" si="29"/>
        <v>Low</v>
      </c>
      <c r="U263" s="8"/>
    </row>
    <row r="264" spans="1:21" ht="14.25" customHeight="1">
      <c r="A264" s="1">
        <v>10318</v>
      </c>
      <c r="B264" s="1">
        <v>1906</v>
      </c>
      <c r="C264" s="2">
        <v>45093</v>
      </c>
      <c r="D264" s="2">
        <v>45097</v>
      </c>
      <c r="E264" s="1" t="s">
        <v>14</v>
      </c>
      <c r="F264" s="1" t="s">
        <v>22</v>
      </c>
      <c r="G264" s="1" t="s">
        <v>29</v>
      </c>
      <c r="H264" s="1" t="s">
        <v>34</v>
      </c>
      <c r="I264" s="1" t="s">
        <v>48</v>
      </c>
      <c r="J264" s="1" t="s">
        <v>66</v>
      </c>
      <c r="K264" s="1" t="s">
        <v>20</v>
      </c>
      <c r="L264" s="1">
        <v>7</v>
      </c>
      <c r="M264" s="1">
        <v>245.03</v>
      </c>
      <c r="N264" s="7">
        <v>0</v>
      </c>
      <c r="O264" s="16">
        <f t="shared" si="24"/>
        <v>1715.21</v>
      </c>
      <c r="P264" s="18">
        <f t="shared" si="25"/>
        <v>0</v>
      </c>
      <c r="Q264" s="18">
        <f t="shared" si="26"/>
        <v>1715.21</v>
      </c>
      <c r="R264" s="14" t="str">
        <f t="shared" si="27"/>
        <v>High Sell</v>
      </c>
      <c r="S264" s="8" t="str">
        <f t="shared" si="28"/>
        <v>High</v>
      </c>
      <c r="T264" s="8" t="str">
        <f t="shared" si="29"/>
        <v>High</v>
      </c>
      <c r="U264" s="8"/>
    </row>
    <row r="265" spans="1:21" ht="14.25" customHeight="1">
      <c r="A265" s="1">
        <v>10320</v>
      </c>
      <c r="B265" s="1">
        <v>1751</v>
      </c>
      <c r="C265" s="2">
        <v>45002</v>
      </c>
      <c r="D265" s="2">
        <v>45005</v>
      </c>
      <c r="E265" s="1" t="s">
        <v>14</v>
      </c>
      <c r="F265" s="1" t="s">
        <v>15</v>
      </c>
      <c r="G265" s="1" t="s">
        <v>16</v>
      </c>
      <c r="H265" s="1" t="s">
        <v>34</v>
      </c>
      <c r="I265" s="1" t="s">
        <v>25</v>
      </c>
      <c r="J265" s="1" t="s">
        <v>35</v>
      </c>
      <c r="K265" s="1" t="s">
        <v>27</v>
      </c>
      <c r="L265" s="1">
        <v>8</v>
      </c>
      <c r="M265" s="1">
        <v>2254.7800000000002</v>
      </c>
      <c r="N265" s="7">
        <v>0</v>
      </c>
      <c r="O265" s="16">
        <f t="shared" si="24"/>
        <v>18038.240000000002</v>
      </c>
      <c r="P265" s="18">
        <f t="shared" si="25"/>
        <v>0</v>
      </c>
      <c r="Q265" s="18">
        <f t="shared" si="26"/>
        <v>18038.240000000002</v>
      </c>
      <c r="R265" s="14" t="str">
        <f t="shared" si="27"/>
        <v>High Sell</v>
      </c>
      <c r="S265" s="8" t="str">
        <f t="shared" si="28"/>
        <v>High</v>
      </c>
      <c r="T265" s="8" t="str">
        <f t="shared" si="29"/>
        <v>High</v>
      </c>
      <c r="U265" s="8"/>
    </row>
    <row r="266" spans="1:21" ht="14.25" customHeight="1">
      <c r="A266" s="1">
        <v>10321</v>
      </c>
      <c r="B266" s="1">
        <v>1143</v>
      </c>
      <c r="C266" s="2">
        <v>45270</v>
      </c>
      <c r="D266" s="2">
        <v>45275</v>
      </c>
      <c r="E266" s="1" t="s">
        <v>36</v>
      </c>
      <c r="F266" s="1" t="s">
        <v>15</v>
      </c>
      <c r="G266" s="1" t="s">
        <v>29</v>
      </c>
      <c r="H266" s="1" t="s">
        <v>41</v>
      </c>
      <c r="I266" s="1" t="s">
        <v>51</v>
      </c>
      <c r="J266" s="1" t="s">
        <v>59</v>
      </c>
      <c r="K266" s="1" t="s">
        <v>44</v>
      </c>
      <c r="L266" s="1">
        <v>7</v>
      </c>
      <c r="M266" s="1">
        <v>3383.31</v>
      </c>
      <c r="N266" s="7">
        <v>20</v>
      </c>
      <c r="O266" s="16">
        <f t="shared" si="24"/>
        <v>23683.17</v>
      </c>
      <c r="P266" s="18">
        <f t="shared" si="25"/>
        <v>4736.634</v>
      </c>
      <c r="Q266" s="18">
        <f t="shared" si="26"/>
        <v>18946.536</v>
      </c>
      <c r="R266" s="14" t="str">
        <f t="shared" si="27"/>
        <v>High Sell</v>
      </c>
      <c r="S266" s="8" t="str">
        <f t="shared" si="28"/>
        <v>High</v>
      </c>
      <c r="T266" s="8" t="str">
        <f t="shared" si="29"/>
        <v>High</v>
      </c>
      <c r="U266" s="8"/>
    </row>
    <row r="267" spans="1:21" ht="14.25" customHeight="1">
      <c r="A267" s="1">
        <v>10322</v>
      </c>
      <c r="B267" s="1">
        <v>1608</v>
      </c>
      <c r="C267" s="2">
        <v>45220</v>
      </c>
      <c r="D267" s="2">
        <v>45222</v>
      </c>
      <c r="E267" s="1" t="s">
        <v>14</v>
      </c>
      <c r="F267" s="1" t="s">
        <v>53</v>
      </c>
      <c r="G267" s="1" t="s">
        <v>29</v>
      </c>
      <c r="H267" s="1" t="s">
        <v>34</v>
      </c>
      <c r="I267" s="1" t="s">
        <v>25</v>
      </c>
      <c r="J267" s="1" t="s">
        <v>60</v>
      </c>
      <c r="K267" s="1" t="s">
        <v>27</v>
      </c>
      <c r="L267" s="1">
        <v>5</v>
      </c>
      <c r="M267" s="1">
        <v>640.82000000000005</v>
      </c>
      <c r="N267" s="7">
        <v>0</v>
      </c>
      <c r="O267" s="16">
        <f t="shared" si="24"/>
        <v>3204.1000000000004</v>
      </c>
      <c r="P267" s="18">
        <f t="shared" si="25"/>
        <v>0</v>
      </c>
      <c r="Q267" s="18">
        <f t="shared" si="26"/>
        <v>3204.1000000000004</v>
      </c>
      <c r="R267" s="14" t="str">
        <f t="shared" si="27"/>
        <v>High Sell</v>
      </c>
      <c r="S267" s="8" t="str">
        <f t="shared" si="28"/>
        <v>Medium</v>
      </c>
      <c r="T267" s="8" t="str">
        <f t="shared" si="29"/>
        <v>Medium</v>
      </c>
      <c r="U267" s="8"/>
    </row>
    <row r="268" spans="1:21" ht="14.25" customHeight="1">
      <c r="A268" s="1">
        <v>10324</v>
      </c>
      <c r="B268" s="1">
        <v>1123</v>
      </c>
      <c r="C268" s="2">
        <v>45064</v>
      </c>
      <c r="D268" s="2">
        <v>45070</v>
      </c>
      <c r="E268" s="1" t="s">
        <v>45</v>
      </c>
      <c r="F268" s="1" t="s">
        <v>40</v>
      </c>
      <c r="G268" s="1" t="s">
        <v>23</v>
      </c>
      <c r="H268" s="1" t="s">
        <v>43</v>
      </c>
      <c r="I268" s="1" t="s">
        <v>56</v>
      </c>
      <c r="J268" s="1" t="s">
        <v>57</v>
      </c>
      <c r="K268" s="1" t="s">
        <v>32</v>
      </c>
      <c r="L268" s="1">
        <v>9</v>
      </c>
      <c r="M268" s="1">
        <v>3472.58</v>
      </c>
      <c r="N268" s="7">
        <v>15</v>
      </c>
      <c r="O268" s="16">
        <f t="shared" si="24"/>
        <v>31253.22</v>
      </c>
      <c r="P268" s="18">
        <f t="shared" si="25"/>
        <v>4687.9830000000002</v>
      </c>
      <c r="Q268" s="18">
        <f t="shared" si="26"/>
        <v>26565.237000000001</v>
      </c>
      <c r="R268" s="14" t="str">
        <f t="shared" si="27"/>
        <v>High Sell</v>
      </c>
      <c r="S268" s="8" t="str">
        <f t="shared" si="28"/>
        <v>High</v>
      </c>
      <c r="T268" s="8" t="str">
        <f t="shared" si="29"/>
        <v>High</v>
      </c>
      <c r="U268" s="8"/>
    </row>
    <row r="269" spans="1:21" ht="14.25" customHeight="1">
      <c r="A269" s="1">
        <v>10325</v>
      </c>
      <c r="B269" s="1">
        <v>1186</v>
      </c>
      <c r="C269" s="2">
        <v>45025</v>
      </c>
      <c r="D269" s="2">
        <v>45030</v>
      </c>
      <c r="E269" s="1" t="s">
        <v>36</v>
      </c>
      <c r="F269" s="1" t="s">
        <v>37</v>
      </c>
      <c r="G269" s="1" t="s">
        <v>29</v>
      </c>
      <c r="H269" s="1" t="s">
        <v>34</v>
      </c>
      <c r="I269" s="1" t="s">
        <v>51</v>
      </c>
      <c r="J269" s="1" t="s">
        <v>63</v>
      </c>
      <c r="K269" s="1" t="s">
        <v>44</v>
      </c>
      <c r="L269" s="1">
        <v>7</v>
      </c>
      <c r="M269" s="1">
        <v>730.15</v>
      </c>
      <c r="N269" s="7">
        <v>0</v>
      </c>
      <c r="O269" s="16">
        <f t="shared" si="24"/>
        <v>5111.05</v>
      </c>
      <c r="P269" s="18">
        <f t="shared" si="25"/>
        <v>0</v>
      </c>
      <c r="Q269" s="18">
        <f t="shared" si="26"/>
        <v>5111.05</v>
      </c>
      <c r="R269" s="14" t="str">
        <f t="shared" si="27"/>
        <v>High Sell</v>
      </c>
      <c r="S269" s="8" t="str">
        <f t="shared" si="28"/>
        <v>High</v>
      </c>
      <c r="T269" s="8" t="str">
        <f t="shared" si="29"/>
        <v>High</v>
      </c>
      <c r="U269" s="8"/>
    </row>
    <row r="270" spans="1:21" ht="14.25" customHeight="1">
      <c r="A270" s="1">
        <v>10326</v>
      </c>
      <c r="B270" s="1">
        <v>1325</v>
      </c>
      <c r="C270" s="2">
        <v>45118</v>
      </c>
      <c r="D270" s="2">
        <v>45124</v>
      </c>
      <c r="E270" s="1" t="s">
        <v>36</v>
      </c>
      <c r="F270" s="1" t="s">
        <v>15</v>
      </c>
      <c r="G270" s="1" t="s">
        <v>23</v>
      </c>
      <c r="H270" s="1" t="s">
        <v>43</v>
      </c>
      <c r="I270" s="1" t="s">
        <v>51</v>
      </c>
      <c r="J270" s="1" t="s">
        <v>59</v>
      </c>
      <c r="K270" s="1" t="s">
        <v>32</v>
      </c>
      <c r="L270" s="1">
        <v>2</v>
      </c>
      <c r="M270" s="1">
        <v>3428.64</v>
      </c>
      <c r="N270" s="7">
        <v>10</v>
      </c>
      <c r="O270" s="16">
        <f t="shared" si="24"/>
        <v>6857.28</v>
      </c>
      <c r="P270" s="18">
        <f t="shared" si="25"/>
        <v>685.72800000000007</v>
      </c>
      <c r="Q270" s="18">
        <f t="shared" si="26"/>
        <v>6171.5519999999997</v>
      </c>
      <c r="R270" s="14" t="str">
        <f t="shared" si="27"/>
        <v>Low Sell</v>
      </c>
      <c r="S270" s="8" t="str">
        <f t="shared" si="28"/>
        <v>Low</v>
      </c>
      <c r="T270" s="8" t="str">
        <f t="shared" si="29"/>
        <v>Low</v>
      </c>
      <c r="U270" s="8"/>
    </row>
    <row r="271" spans="1:21" ht="14.25" customHeight="1">
      <c r="A271" s="1">
        <v>10327</v>
      </c>
      <c r="B271" s="1">
        <v>1463</v>
      </c>
      <c r="C271" s="2">
        <v>45169</v>
      </c>
      <c r="D271" s="2">
        <v>45176</v>
      </c>
      <c r="E271" s="1" t="s">
        <v>21</v>
      </c>
      <c r="F271" s="1" t="s">
        <v>22</v>
      </c>
      <c r="G271" s="1" t="s">
        <v>16</v>
      </c>
      <c r="H271" s="1" t="s">
        <v>41</v>
      </c>
      <c r="I271" s="1" t="s">
        <v>51</v>
      </c>
      <c r="J271" s="1" t="s">
        <v>59</v>
      </c>
      <c r="K271" s="1" t="s">
        <v>46</v>
      </c>
      <c r="L271" s="1">
        <v>6</v>
      </c>
      <c r="M271" s="1">
        <v>3967.1</v>
      </c>
      <c r="N271" s="7">
        <v>0</v>
      </c>
      <c r="O271" s="16">
        <f t="shared" si="24"/>
        <v>23802.6</v>
      </c>
      <c r="P271" s="18">
        <f t="shared" si="25"/>
        <v>0</v>
      </c>
      <c r="Q271" s="18">
        <f t="shared" si="26"/>
        <v>23802.6</v>
      </c>
      <c r="R271" s="14" t="str">
        <f t="shared" si="27"/>
        <v>High Sell</v>
      </c>
      <c r="S271" s="8" t="str">
        <f t="shared" si="28"/>
        <v>High</v>
      </c>
      <c r="T271" s="8" t="str">
        <f t="shared" si="29"/>
        <v>High</v>
      </c>
      <c r="U271" s="8"/>
    </row>
    <row r="272" spans="1:21" ht="14.25" customHeight="1">
      <c r="A272" s="1">
        <v>10328</v>
      </c>
      <c r="B272" s="1">
        <v>1348</v>
      </c>
      <c r="C272" s="2">
        <v>45245</v>
      </c>
      <c r="D272" s="2">
        <v>45250</v>
      </c>
      <c r="E272" s="1" t="s">
        <v>21</v>
      </c>
      <c r="F272" s="1" t="s">
        <v>53</v>
      </c>
      <c r="G272" s="1" t="s">
        <v>23</v>
      </c>
      <c r="H272" s="1" t="s">
        <v>24</v>
      </c>
      <c r="I272" s="1" t="s">
        <v>51</v>
      </c>
      <c r="J272" s="1" t="s">
        <v>52</v>
      </c>
      <c r="K272" s="1" t="s">
        <v>44</v>
      </c>
      <c r="L272" s="1">
        <v>2</v>
      </c>
      <c r="M272" s="1">
        <v>2948.33</v>
      </c>
      <c r="N272" s="7">
        <v>15</v>
      </c>
      <c r="O272" s="16">
        <f t="shared" si="24"/>
        <v>5896.66</v>
      </c>
      <c r="P272" s="18">
        <f t="shared" si="25"/>
        <v>884.49899999999991</v>
      </c>
      <c r="Q272" s="18">
        <f t="shared" si="26"/>
        <v>5012.1610000000001</v>
      </c>
      <c r="R272" s="14" t="str">
        <f t="shared" si="27"/>
        <v>Low Sell</v>
      </c>
      <c r="S272" s="8" t="str">
        <f t="shared" si="28"/>
        <v>Low</v>
      </c>
      <c r="T272" s="8" t="str">
        <f t="shared" si="29"/>
        <v>Low</v>
      </c>
      <c r="U272" s="8"/>
    </row>
    <row r="273" spans="1:21" ht="14.25" customHeight="1">
      <c r="A273" s="1">
        <v>10329</v>
      </c>
      <c r="B273" s="1">
        <v>1770</v>
      </c>
      <c r="C273" s="2">
        <v>44975</v>
      </c>
      <c r="D273" s="2">
        <v>44976</v>
      </c>
      <c r="E273" s="1" t="s">
        <v>39</v>
      </c>
      <c r="F273" s="1" t="s">
        <v>37</v>
      </c>
      <c r="G273" s="1" t="s">
        <v>16</v>
      </c>
      <c r="H273" s="1" t="s">
        <v>43</v>
      </c>
      <c r="I273" s="1" t="s">
        <v>25</v>
      </c>
      <c r="J273" s="1" t="s">
        <v>26</v>
      </c>
      <c r="K273" s="1" t="s">
        <v>46</v>
      </c>
      <c r="L273" s="1">
        <v>1</v>
      </c>
      <c r="M273" s="1">
        <v>3171.36</v>
      </c>
      <c r="N273" s="7">
        <v>20</v>
      </c>
      <c r="O273" s="16">
        <f t="shared" si="24"/>
        <v>3171.36</v>
      </c>
      <c r="P273" s="18">
        <f t="shared" si="25"/>
        <v>634.27200000000005</v>
      </c>
      <c r="Q273" s="18">
        <f t="shared" si="26"/>
        <v>2537.0880000000002</v>
      </c>
      <c r="R273" s="14" t="str">
        <f t="shared" si="27"/>
        <v>Low Sell</v>
      </c>
      <c r="S273" s="8" t="str">
        <f t="shared" si="28"/>
        <v>Low</v>
      </c>
      <c r="T273" s="8" t="str">
        <f t="shared" si="29"/>
        <v>Low</v>
      </c>
      <c r="U273" s="8"/>
    </row>
    <row r="274" spans="1:21" ht="14.25" customHeight="1">
      <c r="A274" s="1">
        <v>10330</v>
      </c>
      <c r="B274" s="1">
        <v>1659</v>
      </c>
      <c r="C274" s="2">
        <v>44958</v>
      </c>
      <c r="D274" s="2">
        <v>44966</v>
      </c>
      <c r="E274" s="1" t="s">
        <v>36</v>
      </c>
      <c r="F274" s="1" t="s">
        <v>53</v>
      </c>
      <c r="G274" s="1" t="s">
        <v>16</v>
      </c>
      <c r="H274" s="1" t="s">
        <v>43</v>
      </c>
      <c r="I274" s="1" t="s">
        <v>51</v>
      </c>
      <c r="J274" s="1" t="s">
        <v>63</v>
      </c>
      <c r="K274" s="1" t="s">
        <v>20</v>
      </c>
      <c r="L274" s="1">
        <v>7</v>
      </c>
      <c r="M274" s="1">
        <v>3978.5</v>
      </c>
      <c r="N274" s="7">
        <v>20</v>
      </c>
      <c r="O274" s="16">
        <f t="shared" si="24"/>
        <v>27849.5</v>
      </c>
      <c r="P274" s="18">
        <f t="shared" si="25"/>
        <v>5569.9000000000005</v>
      </c>
      <c r="Q274" s="18">
        <f t="shared" si="26"/>
        <v>22279.599999999999</v>
      </c>
      <c r="R274" s="14" t="str">
        <f t="shared" si="27"/>
        <v>High Sell</v>
      </c>
      <c r="S274" s="8" t="str">
        <f t="shared" si="28"/>
        <v>High</v>
      </c>
      <c r="T274" s="8" t="str">
        <f t="shared" si="29"/>
        <v>High</v>
      </c>
      <c r="U274" s="8"/>
    </row>
    <row r="275" spans="1:21" ht="14.25" customHeight="1">
      <c r="A275" s="1">
        <v>10332</v>
      </c>
      <c r="B275" s="1">
        <v>1954</v>
      </c>
      <c r="C275" s="2">
        <v>44946</v>
      </c>
      <c r="D275" s="2">
        <v>44955</v>
      </c>
      <c r="E275" s="1" t="s">
        <v>14</v>
      </c>
      <c r="F275" s="1" t="s">
        <v>22</v>
      </c>
      <c r="G275" s="1" t="s">
        <v>16</v>
      </c>
      <c r="H275" s="1" t="s">
        <v>41</v>
      </c>
      <c r="I275" s="1" t="s">
        <v>56</v>
      </c>
      <c r="J275" s="1" t="s">
        <v>65</v>
      </c>
      <c r="K275" s="1" t="s">
        <v>20</v>
      </c>
      <c r="L275" s="1">
        <v>2</v>
      </c>
      <c r="M275" s="1">
        <v>1335.36</v>
      </c>
      <c r="N275" s="7">
        <v>5</v>
      </c>
      <c r="O275" s="16">
        <f t="shared" si="24"/>
        <v>2670.72</v>
      </c>
      <c r="P275" s="18">
        <f t="shared" si="25"/>
        <v>133.536</v>
      </c>
      <c r="Q275" s="18">
        <f t="shared" si="26"/>
        <v>2537.1839999999997</v>
      </c>
      <c r="R275" s="14" t="str">
        <f t="shared" si="27"/>
        <v>Low Sell</v>
      </c>
      <c r="S275" s="8" t="str">
        <f t="shared" si="28"/>
        <v>Low</v>
      </c>
      <c r="T275" s="8" t="str">
        <f t="shared" si="29"/>
        <v>Low</v>
      </c>
      <c r="U275" s="8"/>
    </row>
    <row r="276" spans="1:21" ht="14.25" customHeight="1">
      <c r="A276" s="1">
        <v>10336</v>
      </c>
      <c r="B276" s="1">
        <v>1962</v>
      </c>
      <c r="C276" s="2">
        <v>45069</v>
      </c>
      <c r="D276" s="2">
        <v>45072</v>
      </c>
      <c r="E276" s="1" t="s">
        <v>15</v>
      </c>
      <c r="F276" s="1" t="s">
        <v>40</v>
      </c>
      <c r="G276" s="1" t="s">
        <v>23</v>
      </c>
      <c r="H276" s="1" t="s">
        <v>41</v>
      </c>
      <c r="I276" s="1" t="s">
        <v>18</v>
      </c>
      <c r="J276" s="1" t="s">
        <v>68</v>
      </c>
      <c r="K276" s="1" t="s">
        <v>32</v>
      </c>
      <c r="L276" s="1">
        <v>1</v>
      </c>
      <c r="M276" s="1">
        <v>1126.5</v>
      </c>
      <c r="N276" s="7">
        <v>15</v>
      </c>
      <c r="O276" s="16">
        <f t="shared" si="24"/>
        <v>1126.5</v>
      </c>
      <c r="P276" s="18">
        <f t="shared" si="25"/>
        <v>168.97499999999999</v>
      </c>
      <c r="Q276" s="18">
        <f t="shared" si="26"/>
        <v>957.52499999999998</v>
      </c>
      <c r="R276" s="14" t="str">
        <f t="shared" si="27"/>
        <v>Low Sell</v>
      </c>
      <c r="S276" s="8" t="str">
        <f t="shared" si="28"/>
        <v>Low</v>
      </c>
      <c r="T276" s="8" t="str">
        <f t="shared" si="29"/>
        <v>Low</v>
      </c>
      <c r="U276" s="8"/>
    </row>
    <row r="277" spans="1:21" ht="14.25" customHeight="1">
      <c r="A277" s="1">
        <v>10338</v>
      </c>
      <c r="B277" s="1">
        <v>1146</v>
      </c>
      <c r="C277" s="2">
        <v>45139</v>
      </c>
      <c r="D277" s="2">
        <v>45145</v>
      </c>
      <c r="E277" s="1" t="s">
        <v>21</v>
      </c>
      <c r="F277" s="1" t="s">
        <v>28</v>
      </c>
      <c r="G277" s="1" t="s">
        <v>29</v>
      </c>
      <c r="H277" s="1" t="s">
        <v>41</v>
      </c>
      <c r="I277" s="1" t="s">
        <v>48</v>
      </c>
      <c r="J277" s="1" t="s">
        <v>49</v>
      </c>
      <c r="K277" s="1" t="s">
        <v>20</v>
      </c>
      <c r="L277" s="1">
        <v>3</v>
      </c>
      <c r="M277" s="1">
        <v>464.42</v>
      </c>
      <c r="N277" s="7">
        <v>20</v>
      </c>
      <c r="O277" s="16">
        <f t="shared" si="24"/>
        <v>1393.26</v>
      </c>
      <c r="P277" s="18">
        <f t="shared" si="25"/>
        <v>278.65199999999999</v>
      </c>
      <c r="Q277" s="18">
        <f t="shared" si="26"/>
        <v>1114.6079999999999</v>
      </c>
      <c r="R277" s="14" t="str">
        <f t="shared" si="27"/>
        <v>Low Sell</v>
      </c>
      <c r="S277" s="8" t="str">
        <f t="shared" si="28"/>
        <v>Low</v>
      </c>
      <c r="T277" s="8" t="str">
        <f t="shared" si="29"/>
        <v>Low</v>
      </c>
      <c r="U277" s="8"/>
    </row>
    <row r="278" spans="1:21" ht="14.25" customHeight="1">
      <c r="A278" s="1">
        <v>10339</v>
      </c>
      <c r="B278" s="1">
        <v>1147</v>
      </c>
      <c r="C278" s="2">
        <v>45005</v>
      </c>
      <c r="D278" s="2">
        <v>45012</v>
      </c>
      <c r="E278" s="1" t="s">
        <v>14</v>
      </c>
      <c r="F278" s="1" t="s">
        <v>53</v>
      </c>
      <c r="G278" s="1" t="s">
        <v>16</v>
      </c>
      <c r="H278" s="1" t="s">
        <v>24</v>
      </c>
      <c r="I278" s="1" t="s">
        <v>30</v>
      </c>
      <c r="J278" s="1" t="s">
        <v>31</v>
      </c>
      <c r="K278" s="1" t="s">
        <v>20</v>
      </c>
      <c r="L278" s="1">
        <v>4</v>
      </c>
      <c r="M278" s="1">
        <v>3708.51</v>
      </c>
      <c r="N278" s="7">
        <v>5</v>
      </c>
      <c r="O278" s="16">
        <f t="shared" si="24"/>
        <v>14834.04</v>
      </c>
      <c r="P278" s="18">
        <f t="shared" si="25"/>
        <v>741.70200000000011</v>
      </c>
      <c r="Q278" s="18">
        <f t="shared" si="26"/>
        <v>14092.338000000002</v>
      </c>
      <c r="R278" s="14" t="str">
        <f t="shared" si="27"/>
        <v>Low Sell</v>
      </c>
      <c r="S278" s="8" t="str">
        <f t="shared" si="28"/>
        <v>Low</v>
      </c>
      <c r="T278" s="8" t="str">
        <f t="shared" si="29"/>
        <v>Low</v>
      </c>
      <c r="U278" s="8"/>
    </row>
    <row r="279" spans="1:21" ht="14.25" customHeight="1">
      <c r="A279" s="1">
        <v>10341</v>
      </c>
      <c r="B279" s="1">
        <v>1710</v>
      </c>
      <c r="C279" s="2">
        <v>45042</v>
      </c>
      <c r="D279" s="2">
        <v>45048</v>
      </c>
      <c r="E279" s="1" t="s">
        <v>15</v>
      </c>
      <c r="F279" s="1" t="s">
        <v>28</v>
      </c>
      <c r="G279" s="1" t="s">
        <v>16</v>
      </c>
      <c r="H279" s="1" t="s">
        <v>34</v>
      </c>
      <c r="I279" s="1" t="s">
        <v>48</v>
      </c>
      <c r="J279" s="1" t="s">
        <v>50</v>
      </c>
      <c r="K279" s="1" t="s">
        <v>27</v>
      </c>
      <c r="L279" s="1">
        <v>4</v>
      </c>
      <c r="M279" s="1">
        <v>641.92999999999995</v>
      </c>
      <c r="N279" s="7">
        <v>0</v>
      </c>
      <c r="O279" s="16">
        <f t="shared" si="24"/>
        <v>2567.7199999999998</v>
      </c>
      <c r="P279" s="18">
        <f t="shared" si="25"/>
        <v>0</v>
      </c>
      <c r="Q279" s="18">
        <f t="shared" si="26"/>
        <v>2567.7199999999998</v>
      </c>
      <c r="R279" s="14" t="str">
        <f t="shared" si="27"/>
        <v>Low Sell</v>
      </c>
      <c r="S279" s="8" t="str">
        <f t="shared" si="28"/>
        <v>Low</v>
      </c>
      <c r="T279" s="8" t="str">
        <f t="shared" si="29"/>
        <v>Low</v>
      </c>
      <c r="U279" s="8"/>
    </row>
    <row r="280" spans="1:21" ht="14.25" customHeight="1">
      <c r="A280" s="1">
        <v>10342</v>
      </c>
      <c r="B280" s="1">
        <v>1819</v>
      </c>
      <c r="C280" s="2">
        <v>45018</v>
      </c>
      <c r="D280" s="2">
        <v>45019</v>
      </c>
      <c r="E280" s="1" t="s">
        <v>14</v>
      </c>
      <c r="F280" s="1" t="s">
        <v>53</v>
      </c>
      <c r="G280" s="1" t="s">
        <v>16</v>
      </c>
      <c r="H280" s="1" t="s">
        <v>34</v>
      </c>
      <c r="I280" s="1" t="s">
        <v>25</v>
      </c>
      <c r="J280" s="1" t="s">
        <v>26</v>
      </c>
      <c r="K280" s="1" t="s">
        <v>46</v>
      </c>
      <c r="L280" s="1">
        <v>5</v>
      </c>
      <c r="M280" s="1">
        <v>1853.11</v>
      </c>
      <c r="N280" s="7">
        <v>10</v>
      </c>
      <c r="O280" s="16">
        <f t="shared" si="24"/>
        <v>9265.5499999999993</v>
      </c>
      <c r="P280" s="18">
        <f t="shared" si="25"/>
        <v>926.55499999999995</v>
      </c>
      <c r="Q280" s="18">
        <f t="shared" si="26"/>
        <v>8338.994999999999</v>
      </c>
      <c r="R280" s="14" t="str">
        <f t="shared" si="27"/>
        <v>High Sell</v>
      </c>
      <c r="S280" s="8" t="str">
        <f t="shared" si="28"/>
        <v>Medium</v>
      </c>
      <c r="T280" s="8" t="str">
        <f t="shared" si="29"/>
        <v>Medium</v>
      </c>
      <c r="U280" s="8"/>
    </row>
    <row r="281" spans="1:21" ht="14.25" customHeight="1">
      <c r="A281" s="1">
        <v>10343</v>
      </c>
      <c r="B281" s="1">
        <v>1488</v>
      </c>
      <c r="C281" s="2">
        <v>45196</v>
      </c>
      <c r="D281" s="2">
        <v>45204</v>
      </c>
      <c r="E281" s="1" t="s">
        <v>45</v>
      </c>
      <c r="F281" s="1" t="s">
        <v>22</v>
      </c>
      <c r="G281" s="1" t="s">
        <v>16</v>
      </c>
      <c r="H281" s="1" t="s">
        <v>17</v>
      </c>
      <c r="I281" s="1" t="s">
        <v>48</v>
      </c>
      <c r="J281" s="1" t="s">
        <v>50</v>
      </c>
      <c r="K281" s="1" t="s">
        <v>20</v>
      </c>
      <c r="L281" s="1">
        <v>7</v>
      </c>
      <c r="M281" s="1">
        <v>313.51</v>
      </c>
      <c r="N281" s="7">
        <v>0</v>
      </c>
      <c r="O281" s="16">
        <f t="shared" si="24"/>
        <v>2194.5699999999997</v>
      </c>
      <c r="P281" s="18">
        <f t="shared" si="25"/>
        <v>0</v>
      </c>
      <c r="Q281" s="18">
        <f t="shared" si="26"/>
        <v>2194.5699999999997</v>
      </c>
      <c r="R281" s="14" t="str">
        <f t="shared" si="27"/>
        <v>High Sell</v>
      </c>
      <c r="S281" s="8" t="str">
        <f t="shared" si="28"/>
        <v>High</v>
      </c>
      <c r="T281" s="8" t="str">
        <f t="shared" si="29"/>
        <v>High</v>
      </c>
      <c r="U281" s="8"/>
    </row>
    <row r="282" spans="1:21" ht="14.25" customHeight="1">
      <c r="A282" s="1">
        <v>10344</v>
      </c>
      <c r="B282" s="1">
        <v>1928</v>
      </c>
      <c r="C282" s="2">
        <v>45094</v>
      </c>
      <c r="D282" s="2">
        <v>45101</v>
      </c>
      <c r="E282" s="1" t="s">
        <v>21</v>
      </c>
      <c r="F282" s="1" t="s">
        <v>28</v>
      </c>
      <c r="G282" s="1" t="s">
        <v>29</v>
      </c>
      <c r="H282" s="1" t="s">
        <v>43</v>
      </c>
      <c r="I282" s="1" t="s">
        <v>51</v>
      </c>
      <c r="J282" s="1" t="s">
        <v>55</v>
      </c>
      <c r="K282" s="1" t="s">
        <v>32</v>
      </c>
      <c r="L282" s="1">
        <v>4</v>
      </c>
      <c r="M282" s="1">
        <v>2785.81</v>
      </c>
      <c r="N282" s="7">
        <v>20</v>
      </c>
      <c r="O282" s="16">
        <f t="shared" si="24"/>
        <v>11143.24</v>
      </c>
      <c r="P282" s="18">
        <f t="shared" si="25"/>
        <v>2228.6480000000001</v>
      </c>
      <c r="Q282" s="18">
        <f t="shared" si="26"/>
        <v>8914.5920000000006</v>
      </c>
      <c r="R282" s="14" t="str">
        <f t="shared" si="27"/>
        <v>Low Sell</v>
      </c>
      <c r="S282" s="8" t="str">
        <f t="shared" si="28"/>
        <v>Low</v>
      </c>
      <c r="T282" s="8" t="str">
        <f t="shared" si="29"/>
        <v>Low</v>
      </c>
      <c r="U282" s="8"/>
    </row>
    <row r="283" spans="1:21" ht="14.25" customHeight="1">
      <c r="A283" s="1">
        <v>10345</v>
      </c>
      <c r="B283" s="1">
        <v>1935</v>
      </c>
      <c r="C283" s="2">
        <v>44984</v>
      </c>
      <c r="D283" s="2">
        <v>44993</v>
      </c>
      <c r="E283" s="1" t="s">
        <v>33</v>
      </c>
      <c r="F283" s="1" t="s">
        <v>28</v>
      </c>
      <c r="G283" s="1" t="s">
        <v>29</v>
      </c>
      <c r="H283" s="1" t="s">
        <v>41</v>
      </c>
      <c r="I283" s="1" t="s">
        <v>25</v>
      </c>
      <c r="J283" s="1" t="s">
        <v>35</v>
      </c>
      <c r="K283" s="1" t="s">
        <v>44</v>
      </c>
      <c r="L283" s="1">
        <v>1</v>
      </c>
      <c r="M283" s="1">
        <v>3625.42</v>
      </c>
      <c r="N283" s="7">
        <v>10</v>
      </c>
      <c r="O283" s="16">
        <f t="shared" si="24"/>
        <v>3625.42</v>
      </c>
      <c r="P283" s="18">
        <f t="shared" si="25"/>
        <v>362.54200000000003</v>
      </c>
      <c r="Q283" s="18">
        <f t="shared" si="26"/>
        <v>3262.8780000000002</v>
      </c>
      <c r="R283" s="14" t="str">
        <f t="shared" si="27"/>
        <v>Low Sell</v>
      </c>
      <c r="S283" s="8" t="str">
        <f t="shared" si="28"/>
        <v>Low</v>
      </c>
      <c r="T283" s="8" t="str">
        <f t="shared" si="29"/>
        <v>Low</v>
      </c>
      <c r="U283" s="8"/>
    </row>
    <row r="284" spans="1:21" ht="14.25" customHeight="1">
      <c r="A284" s="1">
        <v>10347</v>
      </c>
      <c r="B284" s="1">
        <v>1550</v>
      </c>
      <c r="C284" s="2">
        <v>44952</v>
      </c>
      <c r="D284" s="2">
        <v>44954</v>
      </c>
      <c r="E284" s="1" t="s">
        <v>14</v>
      </c>
      <c r="F284" s="1" t="s">
        <v>28</v>
      </c>
      <c r="G284" s="1" t="s">
        <v>23</v>
      </c>
      <c r="H284" s="1" t="s">
        <v>43</v>
      </c>
      <c r="I284" s="1" t="s">
        <v>18</v>
      </c>
      <c r="J284" s="1" t="s">
        <v>19</v>
      </c>
      <c r="K284" s="1" t="s">
        <v>44</v>
      </c>
      <c r="L284" s="1">
        <v>4</v>
      </c>
      <c r="M284" s="1">
        <v>640.37</v>
      </c>
      <c r="N284" s="7">
        <v>20</v>
      </c>
      <c r="O284" s="16">
        <f t="shared" si="24"/>
        <v>2561.48</v>
      </c>
      <c r="P284" s="18">
        <f t="shared" si="25"/>
        <v>512.29600000000005</v>
      </c>
      <c r="Q284" s="18">
        <f t="shared" si="26"/>
        <v>2049.1840000000002</v>
      </c>
      <c r="R284" s="14" t="str">
        <f t="shared" si="27"/>
        <v>Low Sell</v>
      </c>
      <c r="S284" s="8" t="str">
        <f t="shared" si="28"/>
        <v>Low</v>
      </c>
      <c r="T284" s="8" t="str">
        <f t="shared" si="29"/>
        <v>Low</v>
      </c>
      <c r="U284" s="8"/>
    </row>
    <row r="285" spans="1:21" ht="14.25" customHeight="1">
      <c r="A285" s="1">
        <v>10350</v>
      </c>
      <c r="B285" s="1">
        <v>1640</v>
      </c>
      <c r="C285" s="2">
        <v>45180</v>
      </c>
      <c r="D285" s="2">
        <v>45185</v>
      </c>
      <c r="E285" s="1" t="s">
        <v>14</v>
      </c>
      <c r="F285" s="1" t="s">
        <v>40</v>
      </c>
      <c r="G285" s="1" t="s">
        <v>16</v>
      </c>
      <c r="H285" s="1" t="s">
        <v>43</v>
      </c>
      <c r="I285" s="1" t="s">
        <v>56</v>
      </c>
      <c r="J285" s="1" t="s">
        <v>61</v>
      </c>
      <c r="K285" s="1" t="s">
        <v>20</v>
      </c>
      <c r="L285" s="1">
        <v>1</v>
      </c>
      <c r="M285" s="1">
        <v>3708.38</v>
      </c>
      <c r="N285" s="7">
        <v>20</v>
      </c>
      <c r="O285" s="16">
        <f t="shared" si="24"/>
        <v>3708.38</v>
      </c>
      <c r="P285" s="18">
        <f t="shared" si="25"/>
        <v>741.67600000000004</v>
      </c>
      <c r="Q285" s="18">
        <f t="shared" si="26"/>
        <v>2966.7040000000002</v>
      </c>
      <c r="R285" s="14" t="str">
        <f t="shared" si="27"/>
        <v>Low Sell</v>
      </c>
      <c r="S285" s="8" t="str">
        <f t="shared" si="28"/>
        <v>Low</v>
      </c>
      <c r="T285" s="8" t="str">
        <f t="shared" si="29"/>
        <v>Low</v>
      </c>
      <c r="U285" s="8"/>
    </row>
    <row r="286" spans="1:21" ht="14.25" customHeight="1">
      <c r="A286" s="1">
        <v>10351</v>
      </c>
      <c r="B286" s="1">
        <v>1778</v>
      </c>
      <c r="C286" s="2">
        <v>44970</v>
      </c>
      <c r="D286" s="2">
        <v>44972</v>
      </c>
      <c r="E286" s="1" t="s">
        <v>45</v>
      </c>
      <c r="F286" s="1" t="s">
        <v>15</v>
      </c>
      <c r="G286" s="1" t="s">
        <v>29</v>
      </c>
      <c r="H286" s="1" t="s">
        <v>34</v>
      </c>
      <c r="I286" s="1" t="s">
        <v>30</v>
      </c>
      <c r="J286" s="1" t="s">
        <v>31</v>
      </c>
      <c r="K286" s="1" t="s">
        <v>44</v>
      </c>
      <c r="L286" s="1">
        <v>3</v>
      </c>
      <c r="M286" s="1">
        <v>1923.58</v>
      </c>
      <c r="N286" s="7">
        <v>15</v>
      </c>
      <c r="O286" s="16">
        <f t="shared" si="24"/>
        <v>5770.74</v>
      </c>
      <c r="P286" s="18">
        <f t="shared" si="25"/>
        <v>865.61099999999999</v>
      </c>
      <c r="Q286" s="18">
        <f t="shared" si="26"/>
        <v>4905.1289999999999</v>
      </c>
      <c r="R286" s="14" t="str">
        <f t="shared" si="27"/>
        <v>Low Sell</v>
      </c>
      <c r="S286" s="8" t="str">
        <f t="shared" si="28"/>
        <v>Low</v>
      </c>
      <c r="T286" s="8" t="str">
        <f t="shared" si="29"/>
        <v>Low</v>
      </c>
      <c r="U286" s="8"/>
    </row>
    <row r="287" spans="1:21" ht="14.25" customHeight="1">
      <c r="A287" s="1">
        <v>10352</v>
      </c>
      <c r="B287" s="1">
        <v>1987</v>
      </c>
      <c r="C287" s="2">
        <v>45023</v>
      </c>
      <c r="D287" s="2">
        <v>45026</v>
      </c>
      <c r="E287" s="1" t="s">
        <v>45</v>
      </c>
      <c r="F287" s="1" t="s">
        <v>22</v>
      </c>
      <c r="G287" s="1" t="s">
        <v>29</v>
      </c>
      <c r="H287" s="1" t="s">
        <v>17</v>
      </c>
      <c r="I287" s="1" t="s">
        <v>25</v>
      </c>
      <c r="J287" s="1" t="s">
        <v>35</v>
      </c>
      <c r="K287" s="1" t="s">
        <v>44</v>
      </c>
      <c r="L287" s="1">
        <v>2</v>
      </c>
      <c r="M287" s="1">
        <v>2071.04</v>
      </c>
      <c r="N287" s="7">
        <v>20</v>
      </c>
      <c r="O287" s="16">
        <f t="shared" si="24"/>
        <v>4142.08</v>
      </c>
      <c r="P287" s="18">
        <f t="shared" si="25"/>
        <v>828.41600000000005</v>
      </c>
      <c r="Q287" s="18">
        <f t="shared" si="26"/>
        <v>3313.6639999999998</v>
      </c>
      <c r="R287" s="14" t="str">
        <f t="shared" si="27"/>
        <v>Low Sell</v>
      </c>
      <c r="S287" s="8" t="str">
        <f t="shared" si="28"/>
        <v>Low</v>
      </c>
      <c r="T287" s="8" t="str">
        <f t="shared" si="29"/>
        <v>Low</v>
      </c>
      <c r="U287" s="8"/>
    </row>
    <row r="288" spans="1:21" ht="14.25" customHeight="1">
      <c r="A288" s="1">
        <v>10355</v>
      </c>
      <c r="B288" s="1">
        <v>1945</v>
      </c>
      <c r="C288" s="2">
        <v>45188</v>
      </c>
      <c r="D288" s="2">
        <v>45191</v>
      </c>
      <c r="E288" s="1" t="s">
        <v>36</v>
      </c>
      <c r="F288" s="1" t="s">
        <v>22</v>
      </c>
      <c r="G288" s="1" t="s">
        <v>29</v>
      </c>
      <c r="H288" s="1" t="s">
        <v>34</v>
      </c>
      <c r="I288" s="1" t="s">
        <v>51</v>
      </c>
      <c r="J288" s="1" t="s">
        <v>52</v>
      </c>
      <c r="K288" s="1" t="s">
        <v>20</v>
      </c>
      <c r="L288" s="1">
        <v>9</v>
      </c>
      <c r="M288" s="1">
        <v>2632.88</v>
      </c>
      <c r="N288" s="7">
        <v>5</v>
      </c>
      <c r="O288" s="16">
        <f t="shared" si="24"/>
        <v>23695.920000000002</v>
      </c>
      <c r="P288" s="18">
        <f t="shared" si="25"/>
        <v>1184.796</v>
      </c>
      <c r="Q288" s="18">
        <f t="shared" si="26"/>
        <v>22511.124000000003</v>
      </c>
      <c r="R288" s="14" t="str">
        <f t="shared" si="27"/>
        <v>High Sell</v>
      </c>
      <c r="S288" s="8" t="str">
        <f t="shared" si="28"/>
        <v>High</v>
      </c>
      <c r="T288" s="8" t="str">
        <f t="shared" si="29"/>
        <v>High</v>
      </c>
      <c r="U288" s="8"/>
    </row>
    <row r="289" spans="1:21" ht="14.25" customHeight="1">
      <c r="A289" s="1">
        <v>10356</v>
      </c>
      <c r="B289" s="1">
        <v>1150</v>
      </c>
      <c r="C289" s="2">
        <v>45093</v>
      </c>
      <c r="D289" s="2">
        <v>45102</v>
      </c>
      <c r="E289" s="1" t="s">
        <v>15</v>
      </c>
      <c r="F289" s="1" t="s">
        <v>37</v>
      </c>
      <c r="G289" s="1" t="s">
        <v>29</v>
      </c>
      <c r="H289" s="1" t="s">
        <v>41</v>
      </c>
      <c r="I289" s="1" t="s">
        <v>30</v>
      </c>
      <c r="J289" s="1" t="s">
        <v>47</v>
      </c>
      <c r="K289" s="1" t="s">
        <v>20</v>
      </c>
      <c r="L289" s="1">
        <v>9</v>
      </c>
      <c r="M289" s="1">
        <v>1259.77</v>
      </c>
      <c r="N289" s="7">
        <v>15</v>
      </c>
      <c r="O289" s="16">
        <f t="shared" si="24"/>
        <v>11337.93</v>
      </c>
      <c r="P289" s="18">
        <f t="shared" si="25"/>
        <v>1700.6895</v>
      </c>
      <c r="Q289" s="18">
        <f t="shared" si="26"/>
        <v>9637.2404999999999</v>
      </c>
      <c r="R289" s="14" t="str">
        <f t="shared" si="27"/>
        <v>High Sell</v>
      </c>
      <c r="S289" s="8" t="str">
        <f t="shared" si="28"/>
        <v>High</v>
      </c>
      <c r="T289" s="8" t="str">
        <f t="shared" si="29"/>
        <v>High</v>
      </c>
      <c r="U289" s="8"/>
    </row>
    <row r="290" spans="1:21" ht="14.25" customHeight="1">
      <c r="A290" s="1">
        <v>10357</v>
      </c>
      <c r="B290" s="1">
        <v>1414</v>
      </c>
      <c r="C290" s="2">
        <v>45205</v>
      </c>
      <c r="D290" s="2">
        <v>45213</v>
      </c>
      <c r="E290" s="1" t="s">
        <v>36</v>
      </c>
      <c r="F290" s="1" t="s">
        <v>37</v>
      </c>
      <c r="G290" s="1" t="s">
        <v>16</v>
      </c>
      <c r="H290" s="1" t="s">
        <v>24</v>
      </c>
      <c r="I290" s="1" t="s">
        <v>56</v>
      </c>
      <c r="J290" s="1" t="s">
        <v>57</v>
      </c>
      <c r="K290" s="1" t="s">
        <v>27</v>
      </c>
      <c r="L290" s="1">
        <v>8</v>
      </c>
      <c r="M290" s="1">
        <v>1300.31</v>
      </c>
      <c r="N290" s="7">
        <v>0</v>
      </c>
      <c r="O290" s="16">
        <f t="shared" si="24"/>
        <v>10402.48</v>
      </c>
      <c r="P290" s="18">
        <f t="shared" si="25"/>
        <v>0</v>
      </c>
      <c r="Q290" s="18">
        <f t="shared" si="26"/>
        <v>10402.48</v>
      </c>
      <c r="R290" s="14" t="str">
        <f t="shared" si="27"/>
        <v>High Sell</v>
      </c>
      <c r="S290" s="8" t="str">
        <f t="shared" si="28"/>
        <v>High</v>
      </c>
      <c r="T290" s="8" t="str">
        <f t="shared" si="29"/>
        <v>High</v>
      </c>
      <c r="U290" s="8"/>
    </row>
    <row r="291" spans="1:21" ht="14.25" customHeight="1">
      <c r="A291" s="1">
        <v>10358</v>
      </c>
      <c r="B291" s="1">
        <v>1989</v>
      </c>
      <c r="C291" s="2">
        <v>45015</v>
      </c>
      <c r="D291" s="2">
        <v>45019</v>
      </c>
      <c r="E291" s="1" t="s">
        <v>14</v>
      </c>
      <c r="F291" s="1" t="s">
        <v>28</v>
      </c>
      <c r="G291" s="1" t="s">
        <v>29</v>
      </c>
      <c r="H291" s="1" t="s">
        <v>34</v>
      </c>
      <c r="I291" s="1" t="s">
        <v>56</v>
      </c>
      <c r="J291" s="1" t="s">
        <v>57</v>
      </c>
      <c r="K291" s="1" t="s">
        <v>32</v>
      </c>
      <c r="L291" s="1">
        <v>8</v>
      </c>
      <c r="M291" s="1">
        <v>3581.12</v>
      </c>
      <c r="N291" s="7">
        <v>15</v>
      </c>
      <c r="O291" s="16">
        <f t="shared" si="24"/>
        <v>28648.959999999999</v>
      </c>
      <c r="P291" s="18">
        <f t="shared" si="25"/>
        <v>4297.3440000000001</v>
      </c>
      <c r="Q291" s="18">
        <f t="shared" si="26"/>
        <v>24351.615999999998</v>
      </c>
      <c r="R291" s="14" t="str">
        <f t="shared" si="27"/>
        <v>High Sell</v>
      </c>
      <c r="S291" s="8" t="str">
        <f t="shared" si="28"/>
        <v>High</v>
      </c>
      <c r="T291" s="8" t="str">
        <f t="shared" si="29"/>
        <v>High</v>
      </c>
      <c r="U291" s="8"/>
    </row>
    <row r="292" spans="1:21" ht="14.25" customHeight="1">
      <c r="A292" s="1">
        <v>10359</v>
      </c>
      <c r="B292" s="1">
        <v>1297</v>
      </c>
      <c r="C292" s="2">
        <v>45104</v>
      </c>
      <c r="D292" s="2">
        <v>45105</v>
      </c>
      <c r="E292" s="1" t="s">
        <v>15</v>
      </c>
      <c r="F292" s="1" t="s">
        <v>40</v>
      </c>
      <c r="G292" s="1" t="s">
        <v>16</v>
      </c>
      <c r="H292" s="1" t="s">
        <v>24</v>
      </c>
      <c r="I292" s="1" t="s">
        <v>30</v>
      </c>
      <c r="J292" s="1" t="s">
        <v>47</v>
      </c>
      <c r="K292" s="1" t="s">
        <v>46</v>
      </c>
      <c r="L292" s="1">
        <v>1</v>
      </c>
      <c r="M292" s="1">
        <v>202.49</v>
      </c>
      <c r="N292" s="7">
        <v>5</v>
      </c>
      <c r="O292" s="16">
        <f t="shared" si="24"/>
        <v>202.49</v>
      </c>
      <c r="P292" s="18">
        <f t="shared" si="25"/>
        <v>10.124500000000001</v>
      </c>
      <c r="Q292" s="18">
        <f t="shared" si="26"/>
        <v>192.3655</v>
      </c>
      <c r="R292" s="14" t="str">
        <f t="shared" si="27"/>
        <v>Low Sell</v>
      </c>
      <c r="S292" s="8" t="str">
        <f t="shared" si="28"/>
        <v>Low</v>
      </c>
      <c r="T292" s="8" t="str">
        <f t="shared" si="29"/>
        <v>Low</v>
      </c>
      <c r="U292" s="8"/>
    </row>
    <row r="293" spans="1:21" ht="14.25" customHeight="1">
      <c r="A293" s="1">
        <v>10360</v>
      </c>
      <c r="B293" s="1">
        <v>1610</v>
      </c>
      <c r="C293" s="2">
        <v>45123</v>
      </c>
      <c r="D293" s="2">
        <v>45124</v>
      </c>
      <c r="E293" s="1" t="s">
        <v>33</v>
      </c>
      <c r="F293" s="1" t="s">
        <v>40</v>
      </c>
      <c r="G293" s="1" t="s">
        <v>29</v>
      </c>
      <c r="H293" s="1" t="s">
        <v>41</v>
      </c>
      <c r="I293" s="1" t="s">
        <v>30</v>
      </c>
      <c r="J293" s="1" t="s">
        <v>31</v>
      </c>
      <c r="K293" s="1" t="s">
        <v>44</v>
      </c>
      <c r="L293" s="1">
        <v>8</v>
      </c>
      <c r="M293" s="1">
        <v>1392.5</v>
      </c>
      <c r="N293" s="7">
        <v>15</v>
      </c>
      <c r="O293" s="16">
        <f t="shared" si="24"/>
        <v>11140</v>
      </c>
      <c r="P293" s="18">
        <f t="shared" si="25"/>
        <v>1671</v>
      </c>
      <c r="Q293" s="18">
        <f t="shared" si="26"/>
        <v>9469</v>
      </c>
      <c r="R293" s="14" t="str">
        <f t="shared" si="27"/>
        <v>High Sell</v>
      </c>
      <c r="S293" s="8" t="str">
        <f t="shared" si="28"/>
        <v>High</v>
      </c>
      <c r="T293" s="8" t="str">
        <f t="shared" si="29"/>
        <v>High</v>
      </c>
      <c r="U293" s="8"/>
    </row>
    <row r="294" spans="1:21" ht="14.25" customHeight="1">
      <c r="A294" s="1">
        <v>10361</v>
      </c>
      <c r="B294" s="1">
        <v>1262</v>
      </c>
      <c r="C294" s="2">
        <v>45233</v>
      </c>
      <c r="D294" s="2">
        <v>45234</v>
      </c>
      <c r="E294" s="1" t="s">
        <v>33</v>
      </c>
      <c r="F294" s="1" t="s">
        <v>22</v>
      </c>
      <c r="G294" s="1" t="s">
        <v>23</v>
      </c>
      <c r="H294" s="1" t="s">
        <v>43</v>
      </c>
      <c r="I294" s="1" t="s">
        <v>56</v>
      </c>
      <c r="J294" s="1" t="s">
        <v>58</v>
      </c>
      <c r="K294" s="1" t="s">
        <v>20</v>
      </c>
      <c r="L294" s="1">
        <v>3</v>
      </c>
      <c r="M294" s="1">
        <v>2284.27</v>
      </c>
      <c r="N294" s="7">
        <v>20</v>
      </c>
      <c r="O294" s="16">
        <f t="shared" si="24"/>
        <v>6852.8099999999995</v>
      </c>
      <c r="P294" s="18">
        <f t="shared" si="25"/>
        <v>1370.5619999999999</v>
      </c>
      <c r="Q294" s="18">
        <f t="shared" si="26"/>
        <v>5482.2479999999996</v>
      </c>
      <c r="R294" s="14" t="str">
        <f t="shared" si="27"/>
        <v>Low Sell</v>
      </c>
      <c r="S294" s="8" t="str">
        <f t="shared" si="28"/>
        <v>Low</v>
      </c>
      <c r="T294" s="8" t="str">
        <f t="shared" si="29"/>
        <v>Low</v>
      </c>
      <c r="U294" s="8"/>
    </row>
    <row r="295" spans="1:21" ht="14.25" customHeight="1">
      <c r="A295" s="1">
        <v>10365</v>
      </c>
      <c r="B295" s="1">
        <v>1623</v>
      </c>
      <c r="C295" s="2">
        <v>44934</v>
      </c>
      <c r="D295" s="2">
        <v>44940</v>
      </c>
      <c r="E295" s="1" t="s">
        <v>15</v>
      </c>
      <c r="F295" s="1" t="s">
        <v>40</v>
      </c>
      <c r="G295" s="1" t="s">
        <v>16</v>
      </c>
      <c r="H295" s="1" t="s">
        <v>34</v>
      </c>
      <c r="I295" s="1" t="s">
        <v>51</v>
      </c>
      <c r="J295" s="1" t="s">
        <v>52</v>
      </c>
      <c r="K295" s="1" t="s">
        <v>32</v>
      </c>
      <c r="L295" s="1">
        <v>5</v>
      </c>
      <c r="M295" s="1">
        <v>3593.46</v>
      </c>
      <c r="N295" s="7">
        <v>20</v>
      </c>
      <c r="O295" s="16">
        <f t="shared" si="24"/>
        <v>17967.3</v>
      </c>
      <c r="P295" s="18">
        <f t="shared" si="25"/>
        <v>3593.46</v>
      </c>
      <c r="Q295" s="18">
        <f t="shared" si="26"/>
        <v>14373.84</v>
      </c>
      <c r="R295" s="14" t="str">
        <f t="shared" si="27"/>
        <v>High Sell</v>
      </c>
      <c r="S295" s="8" t="str">
        <f t="shared" si="28"/>
        <v>Medium</v>
      </c>
      <c r="T295" s="8" t="str">
        <f t="shared" si="29"/>
        <v>Medium</v>
      </c>
      <c r="U295" s="8"/>
    </row>
    <row r="296" spans="1:21" ht="14.25" customHeight="1">
      <c r="A296" s="1">
        <v>10366</v>
      </c>
      <c r="B296" s="1">
        <v>1571</v>
      </c>
      <c r="C296" s="2">
        <v>45223</v>
      </c>
      <c r="D296" s="2">
        <v>45226</v>
      </c>
      <c r="E296" s="1" t="s">
        <v>14</v>
      </c>
      <c r="F296" s="1" t="s">
        <v>15</v>
      </c>
      <c r="G296" s="1" t="s">
        <v>23</v>
      </c>
      <c r="H296" s="1" t="s">
        <v>41</v>
      </c>
      <c r="I296" s="1" t="s">
        <v>48</v>
      </c>
      <c r="J296" s="1" t="s">
        <v>62</v>
      </c>
      <c r="K296" s="1" t="s">
        <v>20</v>
      </c>
      <c r="L296" s="1">
        <v>5</v>
      </c>
      <c r="M296" s="1">
        <v>3320.88</v>
      </c>
      <c r="N296" s="7">
        <v>0</v>
      </c>
      <c r="O296" s="16">
        <f t="shared" si="24"/>
        <v>16604.400000000001</v>
      </c>
      <c r="P296" s="18">
        <f t="shared" si="25"/>
        <v>0</v>
      </c>
      <c r="Q296" s="18">
        <f t="shared" si="26"/>
        <v>16604.400000000001</v>
      </c>
      <c r="R296" s="14" t="str">
        <f t="shared" si="27"/>
        <v>High Sell</v>
      </c>
      <c r="S296" s="8" t="str">
        <f t="shared" si="28"/>
        <v>Medium</v>
      </c>
      <c r="T296" s="8" t="str">
        <f t="shared" si="29"/>
        <v>Medium</v>
      </c>
      <c r="U296" s="8"/>
    </row>
    <row r="297" spans="1:21" ht="14.25" customHeight="1">
      <c r="A297" s="1">
        <v>10367</v>
      </c>
      <c r="B297" s="1">
        <v>1880</v>
      </c>
      <c r="C297" s="2">
        <v>45090</v>
      </c>
      <c r="D297" s="2">
        <v>45095</v>
      </c>
      <c r="E297" s="1" t="s">
        <v>45</v>
      </c>
      <c r="F297" s="1" t="s">
        <v>40</v>
      </c>
      <c r="G297" s="1" t="s">
        <v>29</v>
      </c>
      <c r="H297" s="1" t="s">
        <v>34</v>
      </c>
      <c r="I297" s="1" t="s">
        <v>56</v>
      </c>
      <c r="J297" s="1" t="s">
        <v>61</v>
      </c>
      <c r="K297" s="1" t="s">
        <v>44</v>
      </c>
      <c r="L297" s="1">
        <v>8</v>
      </c>
      <c r="M297" s="1">
        <v>3610.33</v>
      </c>
      <c r="N297" s="7">
        <v>5</v>
      </c>
      <c r="O297" s="16">
        <f t="shared" si="24"/>
        <v>28882.639999999999</v>
      </c>
      <c r="P297" s="18">
        <f t="shared" si="25"/>
        <v>1444.1320000000001</v>
      </c>
      <c r="Q297" s="18">
        <f t="shared" si="26"/>
        <v>27438.507999999998</v>
      </c>
      <c r="R297" s="14" t="str">
        <f t="shared" si="27"/>
        <v>High Sell</v>
      </c>
      <c r="S297" s="8" t="str">
        <f t="shared" si="28"/>
        <v>High</v>
      </c>
      <c r="T297" s="8" t="str">
        <f t="shared" si="29"/>
        <v>High</v>
      </c>
      <c r="U297" s="8"/>
    </row>
    <row r="298" spans="1:21" ht="14.25" customHeight="1">
      <c r="A298" s="1">
        <v>10369</v>
      </c>
      <c r="B298" s="1">
        <v>1896</v>
      </c>
      <c r="C298" s="2">
        <v>44998</v>
      </c>
      <c r="D298" s="2">
        <v>45000</v>
      </c>
      <c r="E298" s="1" t="s">
        <v>21</v>
      </c>
      <c r="F298" s="1" t="s">
        <v>22</v>
      </c>
      <c r="G298" s="1" t="s">
        <v>16</v>
      </c>
      <c r="H298" s="1" t="s">
        <v>34</v>
      </c>
      <c r="I298" s="1" t="s">
        <v>25</v>
      </c>
      <c r="J298" s="1" t="s">
        <v>35</v>
      </c>
      <c r="K298" s="1" t="s">
        <v>46</v>
      </c>
      <c r="L298" s="1">
        <v>8</v>
      </c>
      <c r="M298" s="1">
        <v>3277.19</v>
      </c>
      <c r="N298" s="7">
        <v>15</v>
      </c>
      <c r="O298" s="16">
        <f t="shared" si="24"/>
        <v>26217.52</v>
      </c>
      <c r="P298" s="18">
        <f t="shared" si="25"/>
        <v>3932.6279999999997</v>
      </c>
      <c r="Q298" s="18">
        <f t="shared" si="26"/>
        <v>22284.892</v>
      </c>
      <c r="R298" s="14" t="str">
        <f t="shared" si="27"/>
        <v>High Sell</v>
      </c>
      <c r="S298" s="8" t="str">
        <f t="shared" si="28"/>
        <v>High</v>
      </c>
      <c r="T298" s="8" t="str">
        <f t="shared" si="29"/>
        <v>High</v>
      </c>
      <c r="U298" s="8"/>
    </row>
    <row r="299" spans="1:21" ht="14.25" customHeight="1">
      <c r="A299" s="1">
        <v>10370</v>
      </c>
      <c r="B299" s="1">
        <v>1303</v>
      </c>
      <c r="C299" s="2">
        <v>44981</v>
      </c>
      <c r="D299" s="2">
        <v>44987</v>
      </c>
      <c r="E299" s="1" t="s">
        <v>21</v>
      </c>
      <c r="F299" s="1" t="s">
        <v>40</v>
      </c>
      <c r="G299" s="1" t="s">
        <v>29</v>
      </c>
      <c r="H299" s="1" t="s">
        <v>17</v>
      </c>
      <c r="I299" s="1" t="s">
        <v>48</v>
      </c>
      <c r="J299" s="1" t="s">
        <v>62</v>
      </c>
      <c r="K299" s="1" t="s">
        <v>27</v>
      </c>
      <c r="L299" s="1">
        <v>6</v>
      </c>
      <c r="M299" s="1">
        <v>1628.56</v>
      </c>
      <c r="N299" s="7">
        <v>0</v>
      </c>
      <c r="O299" s="16">
        <f t="shared" si="24"/>
        <v>9771.36</v>
      </c>
      <c r="P299" s="18">
        <f t="shared" si="25"/>
        <v>0</v>
      </c>
      <c r="Q299" s="18">
        <f t="shared" si="26"/>
        <v>9771.36</v>
      </c>
      <c r="R299" s="14" t="str">
        <f t="shared" si="27"/>
        <v>High Sell</v>
      </c>
      <c r="S299" s="8" t="str">
        <f t="shared" si="28"/>
        <v>High</v>
      </c>
      <c r="T299" s="8" t="str">
        <f t="shared" si="29"/>
        <v>High</v>
      </c>
      <c r="U299" s="8"/>
    </row>
    <row r="300" spans="1:21" ht="14.25" customHeight="1">
      <c r="A300" s="1">
        <v>10371</v>
      </c>
      <c r="B300" s="1">
        <v>1253</v>
      </c>
      <c r="C300" s="2">
        <v>44973</v>
      </c>
      <c r="D300" s="2">
        <v>44979</v>
      </c>
      <c r="E300" s="1" t="s">
        <v>33</v>
      </c>
      <c r="F300" s="1" t="s">
        <v>40</v>
      </c>
      <c r="G300" s="1" t="s">
        <v>16</v>
      </c>
      <c r="H300" s="1" t="s">
        <v>17</v>
      </c>
      <c r="I300" s="1" t="s">
        <v>48</v>
      </c>
      <c r="J300" s="1" t="s">
        <v>66</v>
      </c>
      <c r="K300" s="1" t="s">
        <v>46</v>
      </c>
      <c r="L300" s="1">
        <v>6</v>
      </c>
      <c r="M300" s="1">
        <v>2715.13</v>
      </c>
      <c r="N300" s="7">
        <v>20</v>
      </c>
      <c r="O300" s="16">
        <f t="shared" si="24"/>
        <v>16290.78</v>
      </c>
      <c r="P300" s="18">
        <f t="shared" si="25"/>
        <v>3258.1560000000004</v>
      </c>
      <c r="Q300" s="18">
        <f t="shared" si="26"/>
        <v>13032.624</v>
      </c>
      <c r="R300" s="14" t="str">
        <f t="shared" si="27"/>
        <v>High Sell</v>
      </c>
      <c r="S300" s="8" t="str">
        <f t="shared" si="28"/>
        <v>High</v>
      </c>
      <c r="T300" s="8" t="str">
        <f t="shared" si="29"/>
        <v>High</v>
      </c>
      <c r="U300" s="8"/>
    </row>
    <row r="301" spans="1:21" ht="14.25" customHeight="1">
      <c r="A301" s="1">
        <v>10372</v>
      </c>
      <c r="B301" s="1">
        <v>1651</v>
      </c>
      <c r="C301" s="2">
        <v>45164</v>
      </c>
      <c r="D301" s="2">
        <v>45167</v>
      </c>
      <c r="E301" s="1" t="s">
        <v>15</v>
      </c>
      <c r="F301" s="1" t="s">
        <v>22</v>
      </c>
      <c r="G301" s="1" t="s">
        <v>23</v>
      </c>
      <c r="H301" s="1" t="s">
        <v>34</v>
      </c>
      <c r="I301" s="1" t="s">
        <v>48</v>
      </c>
      <c r="J301" s="1" t="s">
        <v>62</v>
      </c>
      <c r="K301" s="1" t="s">
        <v>20</v>
      </c>
      <c r="L301" s="1">
        <v>2</v>
      </c>
      <c r="M301" s="1">
        <v>3957.02</v>
      </c>
      <c r="N301" s="7">
        <v>5</v>
      </c>
      <c r="O301" s="16">
        <f t="shared" si="24"/>
        <v>7914.04</v>
      </c>
      <c r="P301" s="18">
        <f t="shared" si="25"/>
        <v>395.702</v>
      </c>
      <c r="Q301" s="18">
        <f t="shared" si="26"/>
        <v>7518.3379999999997</v>
      </c>
      <c r="R301" s="14" t="str">
        <f t="shared" si="27"/>
        <v>Low Sell</v>
      </c>
      <c r="S301" s="8" t="str">
        <f t="shared" si="28"/>
        <v>Low</v>
      </c>
      <c r="T301" s="8" t="str">
        <f t="shared" si="29"/>
        <v>Low</v>
      </c>
      <c r="U301" s="8"/>
    </row>
    <row r="302" spans="1:21" ht="14.25" customHeight="1">
      <c r="A302" s="1">
        <v>10373</v>
      </c>
      <c r="B302" s="1">
        <v>1452</v>
      </c>
      <c r="C302" s="2">
        <v>45030</v>
      </c>
      <c r="D302" s="2">
        <v>45036</v>
      </c>
      <c r="E302" s="1" t="s">
        <v>21</v>
      </c>
      <c r="F302" s="1" t="s">
        <v>15</v>
      </c>
      <c r="G302" s="1" t="s">
        <v>23</v>
      </c>
      <c r="H302" s="1" t="s">
        <v>17</v>
      </c>
      <c r="I302" s="1" t="s">
        <v>51</v>
      </c>
      <c r="J302" s="1" t="s">
        <v>52</v>
      </c>
      <c r="K302" s="1" t="s">
        <v>20</v>
      </c>
      <c r="L302" s="1">
        <v>6</v>
      </c>
      <c r="M302" s="1">
        <v>1019.05</v>
      </c>
      <c r="N302" s="7">
        <v>0</v>
      </c>
      <c r="O302" s="16">
        <f t="shared" si="24"/>
        <v>6114.2999999999993</v>
      </c>
      <c r="P302" s="18">
        <f t="shared" si="25"/>
        <v>0</v>
      </c>
      <c r="Q302" s="18">
        <f t="shared" si="26"/>
        <v>6114.2999999999993</v>
      </c>
      <c r="R302" s="14" t="str">
        <f t="shared" si="27"/>
        <v>High Sell</v>
      </c>
      <c r="S302" s="8" t="str">
        <f t="shared" si="28"/>
        <v>High</v>
      </c>
      <c r="T302" s="8" t="str">
        <f t="shared" si="29"/>
        <v>High</v>
      </c>
      <c r="U302" s="8"/>
    </row>
    <row r="303" spans="1:21" ht="14.25" customHeight="1">
      <c r="A303" s="1">
        <v>10374</v>
      </c>
      <c r="B303" s="1">
        <v>1036</v>
      </c>
      <c r="C303" s="2">
        <v>45136</v>
      </c>
      <c r="D303" s="2">
        <v>45141</v>
      </c>
      <c r="E303" s="1" t="s">
        <v>36</v>
      </c>
      <c r="F303" s="1" t="s">
        <v>15</v>
      </c>
      <c r="G303" s="1" t="s">
        <v>16</v>
      </c>
      <c r="H303" s="1" t="s">
        <v>41</v>
      </c>
      <c r="I303" s="1" t="s">
        <v>56</v>
      </c>
      <c r="J303" s="1" t="s">
        <v>57</v>
      </c>
      <c r="K303" s="1" t="s">
        <v>32</v>
      </c>
      <c r="L303" s="1">
        <v>5</v>
      </c>
      <c r="M303" s="1">
        <v>1651.11</v>
      </c>
      <c r="N303" s="7">
        <v>20</v>
      </c>
      <c r="O303" s="16">
        <f t="shared" si="24"/>
        <v>8255.5499999999993</v>
      </c>
      <c r="P303" s="18">
        <f t="shared" si="25"/>
        <v>1651.11</v>
      </c>
      <c r="Q303" s="18">
        <f t="shared" si="26"/>
        <v>6604.44</v>
      </c>
      <c r="R303" s="14" t="str">
        <f t="shared" si="27"/>
        <v>High Sell</v>
      </c>
      <c r="S303" s="8" t="str">
        <f t="shared" si="28"/>
        <v>Medium</v>
      </c>
      <c r="T303" s="8" t="str">
        <f t="shared" si="29"/>
        <v>Medium</v>
      </c>
      <c r="U303" s="8"/>
    </row>
    <row r="304" spans="1:21" ht="14.25" customHeight="1">
      <c r="A304" s="1">
        <v>10376</v>
      </c>
      <c r="B304" s="1">
        <v>1008</v>
      </c>
      <c r="C304" s="2">
        <v>45242</v>
      </c>
      <c r="D304" s="2">
        <v>45251</v>
      </c>
      <c r="E304" s="1" t="s">
        <v>36</v>
      </c>
      <c r="F304" s="1" t="s">
        <v>53</v>
      </c>
      <c r="G304" s="1" t="s">
        <v>29</v>
      </c>
      <c r="H304" s="1" t="s">
        <v>17</v>
      </c>
      <c r="I304" s="1" t="s">
        <v>56</v>
      </c>
      <c r="J304" s="1" t="s">
        <v>58</v>
      </c>
      <c r="K304" s="1" t="s">
        <v>44</v>
      </c>
      <c r="L304" s="1">
        <v>6</v>
      </c>
      <c r="M304" s="1">
        <v>681.36</v>
      </c>
      <c r="N304" s="7">
        <v>15</v>
      </c>
      <c r="O304" s="16">
        <f t="shared" si="24"/>
        <v>4088.16</v>
      </c>
      <c r="P304" s="18">
        <f t="shared" si="25"/>
        <v>613.22399999999993</v>
      </c>
      <c r="Q304" s="18">
        <f t="shared" si="26"/>
        <v>3474.9359999999997</v>
      </c>
      <c r="R304" s="14" t="str">
        <f t="shared" si="27"/>
        <v>High Sell</v>
      </c>
      <c r="S304" s="8" t="str">
        <f t="shared" si="28"/>
        <v>High</v>
      </c>
      <c r="T304" s="8" t="str">
        <f t="shared" si="29"/>
        <v>High</v>
      </c>
      <c r="U304" s="8"/>
    </row>
    <row r="305" spans="1:21" ht="14.25" customHeight="1">
      <c r="A305" s="1">
        <v>10379</v>
      </c>
      <c r="B305" s="1">
        <v>1658</v>
      </c>
      <c r="C305" s="2">
        <v>45262</v>
      </c>
      <c r="D305" s="2">
        <v>45270</v>
      </c>
      <c r="E305" s="1" t="s">
        <v>14</v>
      </c>
      <c r="F305" s="1" t="s">
        <v>15</v>
      </c>
      <c r="G305" s="1" t="s">
        <v>23</v>
      </c>
      <c r="H305" s="1" t="s">
        <v>34</v>
      </c>
      <c r="I305" s="1" t="s">
        <v>25</v>
      </c>
      <c r="J305" s="1" t="s">
        <v>67</v>
      </c>
      <c r="K305" s="1" t="s">
        <v>44</v>
      </c>
      <c r="L305" s="1">
        <v>1</v>
      </c>
      <c r="M305" s="1">
        <v>3910.66</v>
      </c>
      <c r="N305" s="7">
        <v>5</v>
      </c>
      <c r="O305" s="16">
        <f t="shared" si="24"/>
        <v>3910.66</v>
      </c>
      <c r="P305" s="18">
        <f t="shared" si="25"/>
        <v>195.53300000000002</v>
      </c>
      <c r="Q305" s="18">
        <f t="shared" si="26"/>
        <v>3715.127</v>
      </c>
      <c r="R305" s="14" t="str">
        <f t="shared" si="27"/>
        <v>Low Sell</v>
      </c>
      <c r="S305" s="8" t="str">
        <f t="shared" si="28"/>
        <v>Low</v>
      </c>
      <c r="T305" s="8" t="str">
        <f t="shared" si="29"/>
        <v>Low</v>
      </c>
      <c r="U305" s="8"/>
    </row>
    <row r="306" spans="1:21" ht="14.25" customHeight="1">
      <c r="A306" s="1">
        <v>10381</v>
      </c>
      <c r="B306" s="1">
        <v>1207</v>
      </c>
      <c r="C306" s="2">
        <v>45185</v>
      </c>
      <c r="D306" s="2">
        <v>45188</v>
      </c>
      <c r="E306" s="1" t="s">
        <v>15</v>
      </c>
      <c r="F306" s="1" t="s">
        <v>22</v>
      </c>
      <c r="G306" s="1" t="s">
        <v>23</v>
      </c>
      <c r="H306" s="1" t="s">
        <v>43</v>
      </c>
      <c r="I306" s="1" t="s">
        <v>51</v>
      </c>
      <c r="J306" s="1" t="s">
        <v>55</v>
      </c>
      <c r="K306" s="1" t="s">
        <v>46</v>
      </c>
      <c r="L306" s="1">
        <v>3</v>
      </c>
      <c r="M306" s="1">
        <v>487.45</v>
      </c>
      <c r="N306" s="7">
        <v>5</v>
      </c>
      <c r="O306" s="16">
        <f t="shared" si="24"/>
        <v>1462.35</v>
      </c>
      <c r="P306" s="18">
        <f t="shared" si="25"/>
        <v>73.117499999999993</v>
      </c>
      <c r="Q306" s="18">
        <f t="shared" si="26"/>
        <v>1389.2324999999998</v>
      </c>
      <c r="R306" s="14" t="str">
        <f t="shared" si="27"/>
        <v>Low Sell</v>
      </c>
      <c r="S306" s="8" t="str">
        <f t="shared" si="28"/>
        <v>Low</v>
      </c>
      <c r="T306" s="8" t="str">
        <f t="shared" si="29"/>
        <v>Low</v>
      </c>
      <c r="U306" s="8"/>
    </row>
    <row r="307" spans="1:21" ht="14.25" customHeight="1">
      <c r="A307" s="1">
        <v>10383</v>
      </c>
      <c r="B307" s="1">
        <v>1403</v>
      </c>
      <c r="C307" s="2">
        <v>45040</v>
      </c>
      <c r="D307" s="2">
        <v>45042</v>
      </c>
      <c r="E307" s="1" t="s">
        <v>36</v>
      </c>
      <c r="F307" s="1" t="s">
        <v>22</v>
      </c>
      <c r="G307" s="1" t="s">
        <v>23</v>
      </c>
      <c r="H307" s="1" t="s">
        <v>41</v>
      </c>
      <c r="I307" s="1" t="s">
        <v>30</v>
      </c>
      <c r="J307" s="1" t="s">
        <v>47</v>
      </c>
      <c r="K307" s="1" t="s">
        <v>32</v>
      </c>
      <c r="L307" s="1">
        <v>1</v>
      </c>
      <c r="M307" s="1">
        <v>3581.58</v>
      </c>
      <c r="N307" s="7">
        <v>15</v>
      </c>
      <c r="O307" s="16">
        <f t="shared" si="24"/>
        <v>3581.58</v>
      </c>
      <c r="P307" s="18">
        <f t="shared" si="25"/>
        <v>537.23699999999997</v>
      </c>
      <c r="Q307" s="18">
        <f t="shared" si="26"/>
        <v>3044.3429999999998</v>
      </c>
      <c r="R307" s="14" t="str">
        <f t="shared" si="27"/>
        <v>Low Sell</v>
      </c>
      <c r="S307" s="8" t="str">
        <f t="shared" si="28"/>
        <v>Low</v>
      </c>
      <c r="T307" s="8" t="str">
        <f t="shared" si="29"/>
        <v>Low</v>
      </c>
      <c r="U307" s="8"/>
    </row>
    <row r="308" spans="1:21" ht="14.25" customHeight="1">
      <c r="A308" s="1">
        <v>10384</v>
      </c>
      <c r="B308" s="1">
        <v>1151</v>
      </c>
      <c r="C308" s="2">
        <v>45289</v>
      </c>
      <c r="D308" s="2">
        <v>45297</v>
      </c>
      <c r="E308" s="1" t="s">
        <v>21</v>
      </c>
      <c r="F308" s="1" t="s">
        <v>15</v>
      </c>
      <c r="G308" s="1" t="s">
        <v>23</v>
      </c>
      <c r="H308" s="1" t="s">
        <v>41</v>
      </c>
      <c r="I308" s="1" t="s">
        <v>18</v>
      </c>
      <c r="J308" s="1" t="s">
        <v>54</v>
      </c>
      <c r="K308" s="1" t="s">
        <v>27</v>
      </c>
      <c r="L308" s="1">
        <v>5</v>
      </c>
      <c r="M308" s="1">
        <v>1935.68</v>
      </c>
      <c r="N308" s="7">
        <v>20</v>
      </c>
      <c r="O308" s="16">
        <f t="shared" si="24"/>
        <v>9678.4</v>
      </c>
      <c r="P308" s="18">
        <f t="shared" si="25"/>
        <v>1935.68</v>
      </c>
      <c r="Q308" s="18">
        <f t="shared" si="26"/>
        <v>7742.7199999999993</v>
      </c>
      <c r="R308" s="14" t="str">
        <f t="shared" si="27"/>
        <v>High Sell</v>
      </c>
      <c r="S308" s="8" t="str">
        <f t="shared" si="28"/>
        <v>Medium</v>
      </c>
      <c r="T308" s="8" t="str">
        <f t="shared" si="29"/>
        <v>Medium</v>
      </c>
      <c r="U308" s="8"/>
    </row>
    <row r="309" spans="1:21" ht="14.25" customHeight="1">
      <c r="A309" s="1">
        <v>10385</v>
      </c>
      <c r="B309" s="1">
        <v>1053</v>
      </c>
      <c r="C309" s="2">
        <v>44966</v>
      </c>
      <c r="D309" s="2">
        <v>44967</v>
      </c>
      <c r="E309" s="1" t="s">
        <v>15</v>
      </c>
      <c r="F309" s="1" t="s">
        <v>22</v>
      </c>
      <c r="G309" s="1" t="s">
        <v>23</v>
      </c>
      <c r="H309" s="1" t="s">
        <v>41</v>
      </c>
      <c r="I309" s="1" t="s">
        <v>51</v>
      </c>
      <c r="J309" s="1" t="s">
        <v>63</v>
      </c>
      <c r="K309" s="1" t="s">
        <v>32</v>
      </c>
      <c r="L309" s="1">
        <v>3</v>
      </c>
      <c r="M309" s="1">
        <v>1382.11</v>
      </c>
      <c r="N309" s="7">
        <v>10</v>
      </c>
      <c r="O309" s="16">
        <f t="shared" si="24"/>
        <v>4146.33</v>
      </c>
      <c r="P309" s="18">
        <f t="shared" si="25"/>
        <v>414.63300000000004</v>
      </c>
      <c r="Q309" s="18">
        <f t="shared" si="26"/>
        <v>3731.6970000000001</v>
      </c>
      <c r="R309" s="14" t="str">
        <f t="shared" si="27"/>
        <v>Low Sell</v>
      </c>
      <c r="S309" s="8" t="str">
        <f t="shared" si="28"/>
        <v>Low</v>
      </c>
      <c r="T309" s="8" t="str">
        <f t="shared" si="29"/>
        <v>Low</v>
      </c>
      <c r="U309" s="8"/>
    </row>
    <row r="310" spans="1:21" ht="14.25" customHeight="1">
      <c r="A310" s="1">
        <v>10386</v>
      </c>
      <c r="B310" s="1">
        <v>1119</v>
      </c>
      <c r="C310" s="2">
        <v>45146</v>
      </c>
      <c r="D310" s="2">
        <v>45154</v>
      </c>
      <c r="E310" s="1" t="s">
        <v>14</v>
      </c>
      <c r="F310" s="1" t="s">
        <v>22</v>
      </c>
      <c r="G310" s="1" t="s">
        <v>23</v>
      </c>
      <c r="H310" s="1" t="s">
        <v>43</v>
      </c>
      <c r="I310" s="1" t="s">
        <v>48</v>
      </c>
      <c r="J310" s="1" t="s">
        <v>66</v>
      </c>
      <c r="K310" s="1" t="s">
        <v>27</v>
      </c>
      <c r="L310" s="1">
        <v>2</v>
      </c>
      <c r="M310" s="1">
        <v>1984.38</v>
      </c>
      <c r="N310" s="7">
        <v>10</v>
      </c>
      <c r="O310" s="16">
        <f t="shared" si="24"/>
        <v>3968.76</v>
      </c>
      <c r="P310" s="18">
        <f t="shared" si="25"/>
        <v>396.87600000000003</v>
      </c>
      <c r="Q310" s="18">
        <f t="shared" si="26"/>
        <v>3571.884</v>
      </c>
      <c r="R310" s="14" t="str">
        <f t="shared" si="27"/>
        <v>Low Sell</v>
      </c>
      <c r="S310" s="8" t="str">
        <f t="shared" si="28"/>
        <v>Low</v>
      </c>
      <c r="T310" s="8" t="str">
        <f t="shared" si="29"/>
        <v>Low</v>
      </c>
      <c r="U310" s="8"/>
    </row>
    <row r="311" spans="1:21" ht="14.25" customHeight="1">
      <c r="A311" s="1">
        <v>10387</v>
      </c>
      <c r="B311" s="1">
        <v>1672</v>
      </c>
      <c r="C311" s="2">
        <v>45055</v>
      </c>
      <c r="D311" s="2">
        <v>45062</v>
      </c>
      <c r="E311" s="1" t="s">
        <v>45</v>
      </c>
      <c r="F311" s="1" t="s">
        <v>28</v>
      </c>
      <c r="G311" s="1" t="s">
        <v>23</v>
      </c>
      <c r="H311" s="1" t="s">
        <v>41</v>
      </c>
      <c r="I311" s="1" t="s">
        <v>30</v>
      </c>
      <c r="J311" s="1" t="s">
        <v>31</v>
      </c>
      <c r="K311" s="1" t="s">
        <v>32</v>
      </c>
      <c r="L311" s="1">
        <v>8</v>
      </c>
      <c r="M311" s="1">
        <v>1375.47</v>
      </c>
      <c r="N311" s="7">
        <v>15</v>
      </c>
      <c r="O311" s="16">
        <f t="shared" si="24"/>
        <v>11003.76</v>
      </c>
      <c r="P311" s="18">
        <f t="shared" si="25"/>
        <v>1650.5640000000001</v>
      </c>
      <c r="Q311" s="18">
        <f t="shared" si="26"/>
        <v>9353.1959999999999</v>
      </c>
      <c r="R311" s="14" t="str">
        <f t="shared" si="27"/>
        <v>High Sell</v>
      </c>
      <c r="S311" s="8" t="str">
        <f t="shared" si="28"/>
        <v>High</v>
      </c>
      <c r="T311" s="8" t="str">
        <f t="shared" si="29"/>
        <v>High</v>
      </c>
      <c r="U311" s="8"/>
    </row>
    <row r="312" spans="1:21" ht="14.25" customHeight="1">
      <c r="A312" s="1">
        <v>10388</v>
      </c>
      <c r="B312" s="1">
        <v>1919</v>
      </c>
      <c r="C312" s="2">
        <v>44934</v>
      </c>
      <c r="D312" s="2">
        <v>44941</v>
      </c>
      <c r="E312" s="1" t="s">
        <v>21</v>
      </c>
      <c r="F312" s="1" t="s">
        <v>53</v>
      </c>
      <c r="G312" s="1" t="s">
        <v>29</v>
      </c>
      <c r="H312" s="1" t="s">
        <v>17</v>
      </c>
      <c r="I312" s="1" t="s">
        <v>30</v>
      </c>
      <c r="J312" s="1" t="s">
        <v>38</v>
      </c>
      <c r="K312" s="1" t="s">
        <v>32</v>
      </c>
      <c r="L312" s="1">
        <v>3</v>
      </c>
      <c r="M312" s="1">
        <v>2032.79</v>
      </c>
      <c r="N312" s="7">
        <v>10</v>
      </c>
      <c r="O312" s="16">
        <f t="shared" si="24"/>
        <v>6098.37</v>
      </c>
      <c r="P312" s="18">
        <f t="shared" si="25"/>
        <v>609.83699999999999</v>
      </c>
      <c r="Q312" s="18">
        <f t="shared" si="26"/>
        <v>5488.5329999999994</v>
      </c>
      <c r="R312" s="14" t="str">
        <f t="shared" si="27"/>
        <v>Low Sell</v>
      </c>
      <c r="S312" s="8" t="str">
        <f t="shared" si="28"/>
        <v>Low</v>
      </c>
      <c r="T312" s="8" t="str">
        <f t="shared" si="29"/>
        <v>Low</v>
      </c>
      <c r="U312" s="8"/>
    </row>
    <row r="313" spans="1:21" ht="14.25" customHeight="1">
      <c r="A313" s="1">
        <v>10390</v>
      </c>
      <c r="B313" s="1">
        <v>1586</v>
      </c>
      <c r="C313" s="2">
        <v>45102</v>
      </c>
      <c r="D313" s="2">
        <v>45103</v>
      </c>
      <c r="E313" s="1" t="s">
        <v>39</v>
      </c>
      <c r="F313" s="1" t="s">
        <v>53</v>
      </c>
      <c r="G313" s="1" t="s">
        <v>23</v>
      </c>
      <c r="H313" s="1" t="s">
        <v>34</v>
      </c>
      <c r="I313" s="1" t="s">
        <v>30</v>
      </c>
      <c r="J313" s="1" t="s">
        <v>47</v>
      </c>
      <c r="K313" s="1" t="s">
        <v>46</v>
      </c>
      <c r="L313" s="1">
        <v>1</v>
      </c>
      <c r="M313" s="1">
        <v>2430.36</v>
      </c>
      <c r="N313" s="7">
        <v>15</v>
      </c>
      <c r="O313" s="16">
        <f t="shared" si="24"/>
        <v>2430.36</v>
      </c>
      <c r="P313" s="18">
        <f t="shared" si="25"/>
        <v>364.55400000000003</v>
      </c>
      <c r="Q313" s="18">
        <f t="shared" si="26"/>
        <v>2065.806</v>
      </c>
      <c r="R313" s="14" t="str">
        <f t="shared" si="27"/>
        <v>Low Sell</v>
      </c>
      <c r="S313" s="8" t="str">
        <f t="shared" si="28"/>
        <v>Low</v>
      </c>
      <c r="T313" s="8" t="str">
        <f t="shared" si="29"/>
        <v>Low</v>
      </c>
      <c r="U313" s="8"/>
    </row>
    <row r="314" spans="1:21" ht="14.25" customHeight="1">
      <c r="A314" s="1">
        <v>10392</v>
      </c>
      <c r="B314" s="1">
        <v>1967</v>
      </c>
      <c r="C314" s="2">
        <v>45027</v>
      </c>
      <c r="D314" s="2">
        <v>45036</v>
      </c>
      <c r="E314" s="1" t="s">
        <v>21</v>
      </c>
      <c r="F314" s="1" t="s">
        <v>37</v>
      </c>
      <c r="G314" s="1" t="s">
        <v>23</v>
      </c>
      <c r="H314" s="1" t="s">
        <v>24</v>
      </c>
      <c r="I314" s="1" t="s">
        <v>51</v>
      </c>
      <c r="J314" s="1" t="s">
        <v>59</v>
      </c>
      <c r="K314" s="1" t="s">
        <v>32</v>
      </c>
      <c r="L314" s="1">
        <v>3</v>
      </c>
      <c r="M314" s="1">
        <v>1553.98</v>
      </c>
      <c r="N314" s="7">
        <v>15</v>
      </c>
      <c r="O314" s="16">
        <f t="shared" si="24"/>
        <v>4661.9400000000005</v>
      </c>
      <c r="P314" s="18">
        <f t="shared" si="25"/>
        <v>699.29100000000005</v>
      </c>
      <c r="Q314" s="18">
        <f t="shared" si="26"/>
        <v>3962.6490000000003</v>
      </c>
      <c r="R314" s="14" t="str">
        <f t="shared" si="27"/>
        <v>Low Sell</v>
      </c>
      <c r="S314" s="8" t="str">
        <f t="shared" si="28"/>
        <v>Low</v>
      </c>
      <c r="T314" s="8" t="str">
        <f t="shared" si="29"/>
        <v>Low</v>
      </c>
      <c r="U314" s="8"/>
    </row>
    <row r="315" spans="1:21" ht="14.25" customHeight="1">
      <c r="A315" s="1">
        <v>10393</v>
      </c>
      <c r="B315" s="1">
        <v>1419</v>
      </c>
      <c r="C315" s="2">
        <v>45186</v>
      </c>
      <c r="D315" s="2">
        <v>45191</v>
      </c>
      <c r="E315" s="1" t="s">
        <v>39</v>
      </c>
      <c r="F315" s="1" t="s">
        <v>22</v>
      </c>
      <c r="G315" s="1" t="s">
        <v>23</v>
      </c>
      <c r="H315" s="1" t="s">
        <v>34</v>
      </c>
      <c r="I315" s="1" t="s">
        <v>51</v>
      </c>
      <c r="J315" s="1" t="s">
        <v>59</v>
      </c>
      <c r="K315" s="1" t="s">
        <v>44</v>
      </c>
      <c r="L315" s="1">
        <v>8</v>
      </c>
      <c r="M315" s="1">
        <v>2993.25</v>
      </c>
      <c r="N315" s="7">
        <v>10</v>
      </c>
      <c r="O315" s="16">
        <f t="shared" si="24"/>
        <v>23946</v>
      </c>
      <c r="P315" s="18">
        <f t="shared" si="25"/>
        <v>2394.6</v>
      </c>
      <c r="Q315" s="18">
        <f t="shared" si="26"/>
        <v>21551.4</v>
      </c>
      <c r="R315" s="14" t="str">
        <f t="shared" si="27"/>
        <v>High Sell</v>
      </c>
      <c r="S315" s="8" t="str">
        <f t="shared" si="28"/>
        <v>High</v>
      </c>
      <c r="T315" s="8" t="str">
        <f t="shared" si="29"/>
        <v>High</v>
      </c>
      <c r="U315" s="8"/>
    </row>
    <row r="316" spans="1:21" ht="14.25" customHeight="1">
      <c r="A316" s="1">
        <v>10394</v>
      </c>
      <c r="B316" s="1">
        <v>1421</v>
      </c>
      <c r="C316" s="2">
        <v>45172</v>
      </c>
      <c r="D316" s="2">
        <v>45173</v>
      </c>
      <c r="E316" s="1" t="s">
        <v>21</v>
      </c>
      <c r="F316" s="1" t="s">
        <v>28</v>
      </c>
      <c r="G316" s="1" t="s">
        <v>16</v>
      </c>
      <c r="H316" s="1" t="s">
        <v>17</v>
      </c>
      <c r="I316" s="1" t="s">
        <v>48</v>
      </c>
      <c r="J316" s="1" t="s">
        <v>49</v>
      </c>
      <c r="K316" s="1" t="s">
        <v>46</v>
      </c>
      <c r="L316" s="1">
        <v>6</v>
      </c>
      <c r="M316" s="1">
        <v>2716.48</v>
      </c>
      <c r="N316" s="7">
        <v>0</v>
      </c>
      <c r="O316" s="16">
        <f t="shared" si="24"/>
        <v>16298.880000000001</v>
      </c>
      <c r="P316" s="18">
        <f t="shared" si="25"/>
        <v>0</v>
      </c>
      <c r="Q316" s="18">
        <f t="shared" si="26"/>
        <v>16298.880000000001</v>
      </c>
      <c r="R316" s="14" t="str">
        <f t="shared" si="27"/>
        <v>High Sell</v>
      </c>
      <c r="S316" s="8" t="str">
        <f t="shared" si="28"/>
        <v>High</v>
      </c>
      <c r="T316" s="8" t="str">
        <f t="shared" si="29"/>
        <v>High</v>
      </c>
      <c r="U316" s="8"/>
    </row>
    <row r="317" spans="1:21" ht="14.25" customHeight="1">
      <c r="A317" s="1">
        <v>10395</v>
      </c>
      <c r="B317" s="1">
        <v>1103</v>
      </c>
      <c r="C317" s="2">
        <v>45201</v>
      </c>
      <c r="D317" s="2">
        <v>45206</v>
      </c>
      <c r="E317" s="1" t="s">
        <v>15</v>
      </c>
      <c r="F317" s="1" t="s">
        <v>22</v>
      </c>
      <c r="G317" s="1" t="s">
        <v>23</v>
      </c>
      <c r="H317" s="1" t="s">
        <v>43</v>
      </c>
      <c r="I317" s="1" t="s">
        <v>25</v>
      </c>
      <c r="J317" s="1" t="s">
        <v>35</v>
      </c>
      <c r="K317" s="1" t="s">
        <v>44</v>
      </c>
      <c r="L317" s="1">
        <v>2</v>
      </c>
      <c r="M317" s="1">
        <v>610.30999999999995</v>
      </c>
      <c r="N317" s="7">
        <v>10</v>
      </c>
      <c r="O317" s="16">
        <f t="shared" si="24"/>
        <v>1220.6199999999999</v>
      </c>
      <c r="P317" s="18">
        <f t="shared" si="25"/>
        <v>122.062</v>
      </c>
      <c r="Q317" s="18">
        <f t="shared" si="26"/>
        <v>1098.558</v>
      </c>
      <c r="R317" s="14" t="str">
        <f t="shared" si="27"/>
        <v>Low Sell</v>
      </c>
      <c r="S317" s="8" t="str">
        <f t="shared" si="28"/>
        <v>Low</v>
      </c>
      <c r="T317" s="8" t="str">
        <f t="shared" si="29"/>
        <v>Low</v>
      </c>
      <c r="U317" s="8"/>
    </row>
    <row r="318" spans="1:21" ht="14.25" customHeight="1">
      <c r="A318" s="1">
        <v>10396</v>
      </c>
      <c r="B318" s="1">
        <v>1851</v>
      </c>
      <c r="C318" s="2">
        <v>44958</v>
      </c>
      <c r="D318" s="2">
        <v>44966</v>
      </c>
      <c r="E318" s="1" t="s">
        <v>45</v>
      </c>
      <c r="F318" s="1" t="s">
        <v>15</v>
      </c>
      <c r="G318" s="1" t="s">
        <v>29</v>
      </c>
      <c r="H318" s="1" t="s">
        <v>43</v>
      </c>
      <c r="I318" s="1" t="s">
        <v>48</v>
      </c>
      <c r="J318" s="1" t="s">
        <v>50</v>
      </c>
      <c r="K318" s="1" t="s">
        <v>46</v>
      </c>
      <c r="L318" s="1">
        <v>6</v>
      </c>
      <c r="M318" s="1">
        <v>2354.67</v>
      </c>
      <c r="N318" s="7">
        <v>15</v>
      </c>
      <c r="O318" s="16">
        <f t="shared" si="24"/>
        <v>14128.02</v>
      </c>
      <c r="P318" s="18">
        <f t="shared" si="25"/>
        <v>2119.203</v>
      </c>
      <c r="Q318" s="18">
        <f t="shared" si="26"/>
        <v>12008.817000000001</v>
      </c>
      <c r="R318" s="14" t="str">
        <f t="shared" si="27"/>
        <v>High Sell</v>
      </c>
      <c r="S318" s="8" t="str">
        <f t="shared" si="28"/>
        <v>High</v>
      </c>
      <c r="T318" s="8" t="str">
        <f t="shared" si="29"/>
        <v>High</v>
      </c>
      <c r="U318" s="8"/>
    </row>
    <row r="319" spans="1:21" ht="14.25" customHeight="1">
      <c r="A319" s="1">
        <v>10398</v>
      </c>
      <c r="B319" s="1">
        <v>1226</v>
      </c>
      <c r="C319" s="2">
        <v>44938</v>
      </c>
      <c r="D319" s="2">
        <v>44943</v>
      </c>
      <c r="E319" s="1" t="s">
        <v>21</v>
      </c>
      <c r="F319" s="1" t="s">
        <v>28</v>
      </c>
      <c r="G319" s="1" t="s">
        <v>16</v>
      </c>
      <c r="H319" s="1" t="s">
        <v>43</v>
      </c>
      <c r="I319" s="1" t="s">
        <v>48</v>
      </c>
      <c r="J319" s="1" t="s">
        <v>62</v>
      </c>
      <c r="K319" s="1" t="s">
        <v>32</v>
      </c>
      <c r="L319" s="1">
        <v>5</v>
      </c>
      <c r="M319" s="1">
        <v>3245.77</v>
      </c>
      <c r="N319" s="7">
        <v>0</v>
      </c>
      <c r="O319" s="16">
        <f t="shared" si="24"/>
        <v>16228.85</v>
      </c>
      <c r="P319" s="18">
        <f t="shared" si="25"/>
        <v>0</v>
      </c>
      <c r="Q319" s="18">
        <f t="shared" si="26"/>
        <v>16228.85</v>
      </c>
      <c r="R319" s="14" t="str">
        <f t="shared" si="27"/>
        <v>High Sell</v>
      </c>
      <c r="S319" s="8" t="str">
        <f t="shared" si="28"/>
        <v>Medium</v>
      </c>
      <c r="T319" s="8" t="str">
        <f t="shared" si="29"/>
        <v>Medium</v>
      </c>
      <c r="U319" s="8"/>
    </row>
    <row r="320" spans="1:21" ht="14.25" customHeight="1">
      <c r="A320" s="1">
        <v>10399</v>
      </c>
      <c r="B320" s="1">
        <v>1111</v>
      </c>
      <c r="C320" s="2">
        <v>45228</v>
      </c>
      <c r="D320" s="2">
        <v>45237</v>
      </c>
      <c r="E320" s="1" t="s">
        <v>15</v>
      </c>
      <c r="F320" s="1" t="s">
        <v>15</v>
      </c>
      <c r="G320" s="1" t="s">
        <v>23</v>
      </c>
      <c r="H320" s="1" t="s">
        <v>41</v>
      </c>
      <c r="I320" s="1" t="s">
        <v>18</v>
      </c>
      <c r="J320" s="1" t="s">
        <v>42</v>
      </c>
      <c r="K320" s="1" t="s">
        <v>32</v>
      </c>
      <c r="L320" s="1">
        <v>3</v>
      </c>
      <c r="M320" s="1">
        <v>1789.86</v>
      </c>
      <c r="N320" s="7">
        <v>0</v>
      </c>
      <c r="O320" s="16">
        <f t="shared" si="24"/>
        <v>5369.58</v>
      </c>
      <c r="P320" s="18">
        <f t="shared" si="25"/>
        <v>0</v>
      </c>
      <c r="Q320" s="18">
        <f t="shared" si="26"/>
        <v>5369.58</v>
      </c>
      <c r="R320" s="14" t="str">
        <f t="shared" si="27"/>
        <v>Low Sell</v>
      </c>
      <c r="S320" s="8" t="str">
        <f t="shared" si="28"/>
        <v>Low</v>
      </c>
      <c r="T320" s="8" t="str">
        <f t="shared" si="29"/>
        <v>Low</v>
      </c>
      <c r="U320" s="8"/>
    </row>
    <row r="321" spans="1:21" ht="14.25" customHeight="1">
      <c r="A321" s="1">
        <v>10403</v>
      </c>
      <c r="B321" s="1">
        <v>1152</v>
      </c>
      <c r="C321" s="2">
        <v>45035</v>
      </c>
      <c r="D321" s="2">
        <v>45037</v>
      </c>
      <c r="E321" s="1" t="s">
        <v>15</v>
      </c>
      <c r="F321" s="1" t="s">
        <v>37</v>
      </c>
      <c r="G321" s="1" t="s">
        <v>23</v>
      </c>
      <c r="H321" s="1" t="s">
        <v>43</v>
      </c>
      <c r="I321" s="1" t="s">
        <v>25</v>
      </c>
      <c r="J321" s="1" t="s">
        <v>35</v>
      </c>
      <c r="K321" s="1" t="s">
        <v>20</v>
      </c>
      <c r="L321" s="1">
        <v>1</v>
      </c>
      <c r="M321" s="1">
        <v>2743.75</v>
      </c>
      <c r="N321" s="7">
        <v>15</v>
      </c>
      <c r="O321" s="16">
        <f t="shared" si="24"/>
        <v>2743.75</v>
      </c>
      <c r="P321" s="18">
        <f t="shared" si="25"/>
        <v>411.5625</v>
      </c>
      <c r="Q321" s="18">
        <f t="shared" si="26"/>
        <v>2332.1875</v>
      </c>
      <c r="R321" s="14" t="str">
        <f t="shared" si="27"/>
        <v>Low Sell</v>
      </c>
      <c r="S321" s="8" t="str">
        <f t="shared" si="28"/>
        <v>Low</v>
      </c>
      <c r="T321" s="8" t="str">
        <f t="shared" si="29"/>
        <v>Low</v>
      </c>
      <c r="U321" s="8"/>
    </row>
    <row r="322" spans="1:21" ht="14.25" customHeight="1">
      <c r="A322" s="1">
        <v>10405</v>
      </c>
      <c r="B322" s="1">
        <v>1913</v>
      </c>
      <c r="C322" s="2">
        <v>45084</v>
      </c>
      <c r="D322" s="2">
        <v>45091</v>
      </c>
      <c r="E322" s="1" t="s">
        <v>45</v>
      </c>
      <c r="F322" s="1" t="s">
        <v>22</v>
      </c>
      <c r="G322" s="1" t="s">
        <v>23</v>
      </c>
      <c r="H322" s="1" t="s">
        <v>24</v>
      </c>
      <c r="I322" s="1" t="s">
        <v>18</v>
      </c>
      <c r="J322" s="1" t="s">
        <v>68</v>
      </c>
      <c r="K322" s="1" t="s">
        <v>44</v>
      </c>
      <c r="L322" s="1">
        <v>4</v>
      </c>
      <c r="M322" s="1">
        <v>1333.99</v>
      </c>
      <c r="N322" s="7">
        <v>5</v>
      </c>
      <c r="O322" s="16">
        <f t="shared" si="24"/>
        <v>5335.96</v>
      </c>
      <c r="P322" s="18">
        <f t="shared" si="25"/>
        <v>266.798</v>
      </c>
      <c r="Q322" s="18">
        <f t="shared" si="26"/>
        <v>5069.1620000000003</v>
      </c>
      <c r="R322" s="14" t="str">
        <f t="shared" si="27"/>
        <v>Low Sell</v>
      </c>
      <c r="S322" s="8" t="str">
        <f t="shared" si="28"/>
        <v>Low</v>
      </c>
      <c r="T322" s="8" t="str">
        <f t="shared" si="29"/>
        <v>Low</v>
      </c>
      <c r="U322" s="8"/>
    </row>
    <row r="323" spans="1:21" ht="14.25" customHeight="1">
      <c r="A323" s="1">
        <v>10406</v>
      </c>
      <c r="B323" s="1">
        <v>1895</v>
      </c>
      <c r="C323" s="2">
        <v>45195</v>
      </c>
      <c r="D323" s="2">
        <v>45204</v>
      </c>
      <c r="E323" s="1" t="s">
        <v>15</v>
      </c>
      <c r="F323" s="1" t="s">
        <v>28</v>
      </c>
      <c r="G323" s="1" t="s">
        <v>29</v>
      </c>
      <c r="H323" s="1" t="s">
        <v>43</v>
      </c>
      <c r="I323" s="1" t="s">
        <v>48</v>
      </c>
      <c r="J323" s="1" t="s">
        <v>50</v>
      </c>
      <c r="K323" s="1" t="s">
        <v>20</v>
      </c>
      <c r="L323" s="1">
        <v>1</v>
      </c>
      <c r="M323" s="1">
        <v>2044.41</v>
      </c>
      <c r="N323" s="7">
        <v>0</v>
      </c>
      <c r="O323" s="16">
        <f t="shared" ref="O323:O373" si="30">L323*M323</f>
        <v>2044.41</v>
      </c>
      <c r="P323" s="18">
        <f t="shared" ref="P323:P373" si="31">O323*N323%</f>
        <v>0</v>
      </c>
      <c r="Q323" s="18">
        <f t="shared" ref="Q323:Q373" si="32">O323-P323</f>
        <v>2044.41</v>
      </c>
      <c r="R323" s="14" t="str">
        <f t="shared" ref="R323:R373" si="33">IF(L323&gt;=5, "High Sell", "Low Sell")</f>
        <v>Low Sell</v>
      </c>
      <c r="S323" s="8" t="str">
        <f t="shared" ref="S323:S373" si="34">_xlfn.IFS(L323&lt;5, "Low", L323=5, "Medium", L323&gt;5, "High")</f>
        <v>Low</v>
      </c>
      <c r="T323" s="8" t="str">
        <f t="shared" ref="T323:T373" si="35">IF(L323&gt;5,"High",(IF(L323=5,"Medium","Low")))</f>
        <v>Low</v>
      </c>
      <c r="U323" s="8"/>
    </row>
    <row r="324" spans="1:21" ht="14.25" customHeight="1">
      <c r="A324" s="1">
        <v>10407</v>
      </c>
      <c r="B324" s="1">
        <v>1877</v>
      </c>
      <c r="C324" s="2">
        <v>45088</v>
      </c>
      <c r="D324" s="2">
        <v>45090</v>
      </c>
      <c r="E324" s="1" t="s">
        <v>21</v>
      </c>
      <c r="F324" s="1" t="s">
        <v>22</v>
      </c>
      <c r="G324" s="1" t="s">
        <v>23</v>
      </c>
      <c r="H324" s="1" t="s">
        <v>24</v>
      </c>
      <c r="I324" s="1" t="s">
        <v>51</v>
      </c>
      <c r="J324" s="1" t="s">
        <v>52</v>
      </c>
      <c r="K324" s="1" t="s">
        <v>32</v>
      </c>
      <c r="L324" s="1">
        <v>9</v>
      </c>
      <c r="M324" s="1">
        <v>3216.56</v>
      </c>
      <c r="N324" s="7">
        <v>20</v>
      </c>
      <c r="O324" s="16">
        <f t="shared" si="30"/>
        <v>28949.040000000001</v>
      </c>
      <c r="P324" s="18">
        <f t="shared" si="31"/>
        <v>5789.8080000000009</v>
      </c>
      <c r="Q324" s="18">
        <f t="shared" si="32"/>
        <v>23159.232</v>
      </c>
      <c r="R324" s="14" t="str">
        <f t="shared" si="33"/>
        <v>High Sell</v>
      </c>
      <c r="S324" s="8" t="str">
        <f t="shared" si="34"/>
        <v>High</v>
      </c>
      <c r="T324" s="8" t="str">
        <f t="shared" si="35"/>
        <v>High</v>
      </c>
      <c r="U324" s="8"/>
    </row>
    <row r="325" spans="1:21" ht="14.25" customHeight="1">
      <c r="A325" s="1">
        <v>10409</v>
      </c>
      <c r="B325" s="1">
        <v>1705</v>
      </c>
      <c r="C325" s="2">
        <v>45028</v>
      </c>
      <c r="D325" s="2">
        <v>45034</v>
      </c>
      <c r="E325" s="1" t="s">
        <v>36</v>
      </c>
      <c r="F325" s="1" t="s">
        <v>15</v>
      </c>
      <c r="G325" s="1" t="s">
        <v>23</v>
      </c>
      <c r="H325" s="1" t="s">
        <v>17</v>
      </c>
      <c r="I325" s="1" t="s">
        <v>30</v>
      </c>
      <c r="J325" s="1" t="s">
        <v>38</v>
      </c>
      <c r="K325" s="1" t="s">
        <v>32</v>
      </c>
      <c r="L325" s="1">
        <v>7</v>
      </c>
      <c r="M325" s="1">
        <v>1020.23</v>
      </c>
      <c r="N325" s="7">
        <v>10</v>
      </c>
      <c r="O325" s="16">
        <f t="shared" si="30"/>
        <v>7141.6100000000006</v>
      </c>
      <c r="P325" s="18">
        <f t="shared" si="31"/>
        <v>714.16100000000006</v>
      </c>
      <c r="Q325" s="18">
        <f t="shared" si="32"/>
        <v>6427.4490000000005</v>
      </c>
      <c r="R325" s="14" t="str">
        <f t="shared" si="33"/>
        <v>High Sell</v>
      </c>
      <c r="S325" s="8" t="str">
        <f t="shared" si="34"/>
        <v>High</v>
      </c>
      <c r="T325" s="8" t="str">
        <f t="shared" si="35"/>
        <v>High</v>
      </c>
      <c r="U325" s="8"/>
    </row>
    <row r="326" spans="1:21" ht="14.25" customHeight="1">
      <c r="A326" s="1">
        <v>10411</v>
      </c>
      <c r="B326" s="1">
        <v>1162</v>
      </c>
      <c r="C326" s="2">
        <v>44985</v>
      </c>
      <c r="D326" s="2">
        <v>44993</v>
      </c>
      <c r="E326" s="1" t="s">
        <v>45</v>
      </c>
      <c r="F326" s="1" t="s">
        <v>15</v>
      </c>
      <c r="G326" s="1" t="s">
        <v>29</v>
      </c>
      <c r="H326" s="1" t="s">
        <v>24</v>
      </c>
      <c r="I326" s="1" t="s">
        <v>18</v>
      </c>
      <c r="J326" s="1" t="s">
        <v>42</v>
      </c>
      <c r="K326" s="1" t="s">
        <v>32</v>
      </c>
      <c r="L326" s="1">
        <v>3</v>
      </c>
      <c r="M326" s="1">
        <v>2165.7199999999998</v>
      </c>
      <c r="N326" s="7">
        <v>5</v>
      </c>
      <c r="O326" s="16">
        <f t="shared" si="30"/>
        <v>6497.16</v>
      </c>
      <c r="P326" s="18">
        <f t="shared" si="31"/>
        <v>324.858</v>
      </c>
      <c r="Q326" s="18">
        <f t="shared" si="32"/>
        <v>6172.3019999999997</v>
      </c>
      <c r="R326" s="14" t="str">
        <f t="shared" si="33"/>
        <v>Low Sell</v>
      </c>
      <c r="S326" s="8" t="str">
        <f t="shared" si="34"/>
        <v>Low</v>
      </c>
      <c r="T326" s="8" t="str">
        <f t="shared" si="35"/>
        <v>Low</v>
      </c>
      <c r="U326" s="8"/>
    </row>
    <row r="327" spans="1:21" ht="14.25" customHeight="1">
      <c r="A327" s="1">
        <v>10413</v>
      </c>
      <c r="B327" s="1">
        <v>1956</v>
      </c>
      <c r="C327" s="2">
        <v>45054</v>
      </c>
      <c r="D327" s="2">
        <v>45056</v>
      </c>
      <c r="E327" s="1" t="s">
        <v>36</v>
      </c>
      <c r="F327" s="1" t="s">
        <v>53</v>
      </c>
      <c r="G327" s="1" t="s">
        <v>23</v>
      </c>
      <c r="H327" s="1" t="s">
        <v>17</v>
      </c>
      <c r="I327" s="1" t="s">
        <v>51</v>
      </c>
      <c r="J327" s="1" t="s">
        <v>52</v>
      </c>
      <c r="K327" s="1" t="s">
        <v>27</v>
      </c>
      <c r="L327" s="1">
        <v>8</v>
      </c>
      <c r="M327" s="1">
        <v>1297.5899999999999</v>
      </c>
      <c r="N327" s="7">
        <v>0</v>
      </c>
      <c r="O327" s="16">
        <f t="shared" si="30"/>
        <v>10380.719999999999</v>
      </c>
      <c r="P327" s="18">
        <f t="shared" si="31"/>
        <v>0</v>
      </c>
      <c r="Q327" s="18">
        <f t="shared" si="32"/>
        <v>10380.719999999999</v>
      </c>
      <c r="R327" s="14" t="str">
        <f t="shared" si="33"/>
        <v>High Sell</v>
      </c>
      <c r="S327" s="8" t="str">
        <f t="shared" si="34"/>
        <v>High</v>
      </c>
      <c r="T327" s="8" t="str">
        <f t="shared" si="35"/>
        <v>High</v>
      </c>
      <c r="U327" s="8"/>
    </row>
    <row r="328" spans="1:21" ht="14.25" customHeight="1">
      <c r="A328" s="1">
        <v>10414</v>
      </c>
      <c r="B328" s="1">
        <v>1680</v>
      </c>
      <c r="C328" s="2">
        <v>45209</v>
      </c>
      <c r="D328" s="2">
        <v>45212</v>
      </c>
      <c r="E328" s="1" t="s">
        <v>45</v>
      </c>
      <c r="F328" s="1" t="s">
        <v>53</v>
      </c>
      <c r="G328" s="1" t="s">
        <v>29</v>
      </c>
      <c r="H328" s="1" t="s">
        <v>41</v>
      </c>
      <c r="I328" s="1" t="s">
        <v>25</v>
      </c>
      <c r="J328" s="1" t="s">
        <v>35</v>
      </c>
      <c r="K328" s="1" t="s">
        <v>44</v>
      </c>
      <c r="L328" s="1">
        <v>1</v>
      </c>
      <c r="M328" s="1">
        <v>1219.7</v>
      </c>
      <c r="N328" s="7">
        <v>5</v>
      </c>
      <c r="O328" s="16">
        <f t="shared" si="30"/>
        <v>1219.7</v>
      </c>
      <c r="P328" s="18">
        <f t="shared" si="31"/>
        <v>60.985000000000007</v>
      </c>
      <c r="Q328" s="18">
        <f t="shared" si="32"/>
        <v>1158.7150000000001</v>
      </c>
      <c r="R328" s="14" t="str">
        <f t="shared" si="33"/>
        <v>Low Sell</v>
      </c>
      <c r="S328" s="8" t="str">
        <f t="shared" si="34"/>
        <v>Low</v>
      </c>
      <c r="T328" s="8" t="str">
        <f t="shared" si="35"/>
        <v>Low</v>
      </c>
      <c r="U328" s="8"/>
    </row>
    <row r="329" spans="1:21" ht="14.25" customHeight="1">
      <c r="A329" s="1">
        <v>10417</v>
      </c>
      <c r="B329" s="1">
        <v>1579</v>
      </c>
      <c r="C329" s="2">
        <v>45057</v>
      </c>
      <c r="D329" s="2">
        <v>45065</v>
      </c>
      <c r="E329" s="1" t="s">
        <v>21</v>
      </c>
      <c r="F329" s="1" t="s">
        <v>53</v>
      </c>
      <c r="G329" s="1" t="s">
        <v>16</v>
      </c>
      <c r="H329" s="1" t="s">
        <v>43</v>
      </c>
      <c r="I329" s="1" t="s">
        <v>51</v>
      </c>
      <c r="J329" s="1" t="s">
        <v>63</v>
      </c>
      <c r="K329" s="1" t="s">
        <v>44</v>
      </c>
      <c r="L329" s="1">
        <v>1</v>
      </c>
      <c r="M329" s="1">
        <v>3354.81</v>
      </c>
      <c r="N329" s="7">
        <v>0</v>
      </c>
      <c r="O329" s="16">
        <f t="shared" si="30"/>
        <v>3354.81</v>
      </c>
      <c r="P329" s="18">
        <f t="shared" si="31"/>
        <v>0</v>
      </c>
      <c r="Q329" s="18">
        <f t="shared" si="32"/>
        <v>3354.81</v>
      </c>
      <c r="R329" s="14" t="str">
        <f t="shared" si="33"/>
        <v>Low Sell</v>
      </c>
      <c r="S329" s="8" t="str">
        <f t="shared" si="34"/>
        <v>Low</v>
      </c>
      <c r="T329" s="8" t="str">
        <f t="shared" si="35"/>
        <v>Low</v>
      </c>
      <c r="U329" s="8"/>
    </row>
    <row r="330" spans="1:21" ht="14.25" customHeight="1">
      <c r="A330" s="1">
        <v>10418</v>
      </c>
      <c r="B330" s="1">
        <v>1800</v>
      </c>
      <c r="C330" s="2">
        <v>45279</v>
      </c>
      <c r="D330" s="2">
        <v>45280</v>
      </c>
      <c r="E330" s="1" t="s">
        <v>39</v>
      </c>
      <c r="F330" s="1" t="s">
        <v>53</v>
      </c>
      <c r="G330" s="1" t="s">
        <v>23</v>
      </c>
      <c r="H330" s="1" t="s">
        <v>34</v>
      </c>
      <c r="I330" s="1" t="s">
        <v>51</v>
      </c>
      <c r="J330" s="1" t="s">
        <v>55</v>
      </c>
      <c r="K330" s="1" t="s">
        <v>32</v>
      </c>
      <c r="L330" s="1">
        <v>8</v>
      </c>
      <c r="M330" s="1">
        <v>3905.57</v>
      </c>
      <c r="N330" s="7">
        <v>10</v>
      </c>
      <c r="O330" s="16">
        <f t="shared" si="30"/>
        <v>31244.560000000001</v>
      </c>
      <c r="P330" s="18">
        <f t="shared" si="31"/>
        <v>3124.4560000000001</v>
      </c>
      <c r="Q330" s="18">
        <f t="shared" si="32"/>
        <v>28120.103999999999</v>
      </c>
      <c r="R330" s="14" t="str">
        <f t="shared" si="33"/>
        <v>High Sell</v>
      </c>
      <c r="S330" s="8" t="str">
        <f t="shared" si="34"/>
        <v>High</v>
      </c>
      <c r="T330" s="8" t="str">
        <f t="shared" si="35"/>
        <v>High</v>
      </c>
      <c r="U330" s="8"/>
    </row>
    <row r="331" spans="1:21" ht="14.25" customHeight="1">
      <c r="A331" s="1">
        <v>10422</v>
      </c>
      <c r="B331" s="1">
        <v>1915</v>
      </c>
      <c r="C331" s="2">
        <v>45059</v>
      </c>
      <c r="D331" s="2">
        <v>45061</v>
      </c>
      <c r="E331" s="1" t="s">
        <v>15</v>
      </c>
      <c r="F331" s="1" t="s">
        <v>53</v>
      </c>
      <c r="G331" s="1" t="s">
        <v>16</v>
      </c>
      <c r="H331" s="1" t="s">
        <v>17</v>
      </c>
      <c r="I331" s="1" t="s">
        <v>51</v>
      </c>
      <c r="J331" s="1" t="s">
        <v>63</v>
      </c>
      <c r="K331" s="1" t="s">
        <v>46</v>
      </c>
      <c r="L331" s="1">
        <v>6</v>
      </c>
      <c r="M331" s="1">
        <v>1288.31</v>
      </c>
      <c r="N331" s="7">
        <v>15</v>
      </c>
      <c r="O331" s="16">
        <f t="shared" si="30"/>
        <v>7729.86</v>
      </c>
      <c r="P331" s="18">
        <f t="shared" si="31"/>
        <v>1159.4789999999998</v>
      </c>
      <c r="Q331" s="18">
        <f t="shared" si="32"/>
        <v>6570.3809999999994</v>
      </c>
      <c r="R331" s="14" t="str">
        <f t="shared" si="33"/>
        <v>High Sell</v>
      </c>
      <c r="S331" s="8" t="str">
        <f t="shared" si="34"/>
        <v>High</v>
      </c>
      <c r="T331" s="8" t="str">
        <f t="shared" si="35"/>
        <v>High</v>
      </c>
      <c r="U331" s="8"/>
    </row>
    <row r="332" spans="1:21" ht="14.25" customHeight="1">
      <c r="A332" s="1">
        <v>10423</v>
      </c>
      <c r="B332" s="1">
        <v>1503</v>
      </c>
      <c r="C332" s="2">
        <v>45153</v>
      </c>
      <c r="D332" s="2">
        <v>45155</v>
      </c>
      <c r="E332" s="1" t="s">
        <v>39</v>
      </c>
      <c r="F332" s="1" t="s">
        <v>15</v>
      </c>
      <c r="G332" s="1" t="s">
        <v>23</v>
      </c>
      <c r="H332" s="1" t="s">
        <v>43</v>
      </c>
      <c r="I332" s="1" t="s">
        <v>51</v>
      </c>
      <c r="J332" s="1" t="s">
        <v>59</v>
      </c>
      <c r="K332" s="1" t="s">
        <v>46</v>
      </c>
      <c r="L332" s="1">
        <v>9</v>
      </c>
      <c r="M332" s="1">
        <v>3740.3</v>
      </c>
      <c r="N332" s="7">
        <v>10</v>
      </c>
      <c r="O332" s="16">
        <f t="shared" si="30"/>
        <v>33662.700000000004</v>
      </c>
      <c r="P332" s="18">
        <f t="shared" si="31"/>
        <v>3366.2700000000004</v>
      </c>
      <c r="Q332" s="18">
        <f t="shared" si="32"/>
        <v>30296.430000000004</v>
      </c>
      <c r="R332" s="14" t="str">
        <f t="shared" si="33"/>
        <v>High Sell</v>
      </c>
      <c r="S332" s="8" t="str">
        <f t="shared" si="34"/>
        <v>High</v>
      </c>
      <c r="T332" s="8" t="str">
        <f t="shared" si="35"/>
        <v>High</v>
      </c>
      <c r="U332" s="8"/>
    </row>
    <row r="333" spans="1:21" ht="14.25" customHeight="1">
      <c r="A333" s="1">
        <v>10427</v>
      </c>
      <c r="B333" s="1">
        <v>1194</v>
      </c>
      <c r="C333" s="2">
        <v>45137</v>
      </c>
      <c r="D333" s="2">
        <v>45140</v>
      </c>
      <c r="E333" s="1" t="s">
        <v>39</v>
      </c>
      <c r="F333" s="1" t="s">
        <v>22</v>
      </c>
      <c r="G333" s="1" t="s">
        <v>23</v>
      </c>
      <c r="H333" s="1" t="s">
        <v>24</v>
      </c>
      <c r="I333" s="1" t="s">
        <v>18</v>
      </c>
      <c r="J333" s="1" t="s">
        <v>54</v>
      </c>
      <c r="K333" s="1" t="s">
        <v>27</v>
      </c>
      <c r="L333" s="1">
        <v>9</v>
      </c>
      <c r="M333" s="1">
        <v>2454.59</v>
      </c>
      <c r="N333" s="7">
        <v>5</v>
      </c>
      <c r="O333" s="16">
        <f t="shared" si="30"/>
        <v>22091.31</v>
      </c>
      <c r="P333" s="18">
        <f t="shared" si="31"/>
        <v>1104.5655000000002</v>
      </c>
      <c r="Q333" s="18">
        <f t="shared" si="32"/>
        <v>20986.744500000001</v>
      </c>
      <c r="R333" s="14" t="str">
        <f t="shared" si="33"/>
        <v>High Sell</v>
      </c>
      <c r="S333" s="8" t="str">
        <f t="shared" si="34"/>
        <v>High</v>
      </c>
      <c r="T333" s="8" t="str">
        <f t="shared" si="35"/>
        <v>High</v>
      </c>
      <c r="U333" s="8"/>
    </row>
    <row r="334" spans="1:21" ht="14.25" customHeight="1">
      <c r="A334" s="1">
        <v>10431</v>
      </c>
      <c r="B334" s="1">
        <v>1687</v>
      </c>
      <c r="C334" s="2">
        <v>45139</v>
      </c>
      <c r="D334" s="2">
        <v>45146</v>
      </c>
      <c r="E334" s="1" t="s">
        <v>45</v>
      </c>
      <c r="F334" s="1" t="s">
        <v>37</v>
      </c>
      <c r="G334" s="1" t="s">
        <v>29</v>
      </c>
      <c r="H334" s="1" t="s">
        <v>34</v>
      </c>
      <c r="I334" s="1" t="s">
        <v>48</v>
      </c>
      <c r="J334" s="1" t="s">
        <v>50</v>
      </c>
      <c r="K334" s="1" t="s">
        <v>27</v>
      </c>
      <c r="L334" s="1">
        <v>6</v>
      </c>
      <c r="M334" s="1">
        <v>2247.37</v>
      </c>
      <c r="N334" s="7">
        <v>15</v>
      </c>
      <c r="O334" s="16">
        <f t="shared" si="30"/>
        <v>13484.22</v>
      </c>
      <c r="P334" s="18">
        <f t="shared" si="31"/>
        <v>2022.6329999999998</v>
      </c>
      <c r="Q334" s="18">
        <f t="shared" si="32"/>
        <v>11461.587</v>
      </c>
      <c r="R334" s="14" t="str">
        <f t="shared" si="33"/>
        <v>High Sell</v>
      </c>
      <c r="S334" s="8" t="str">
        <f t="shared" si="34"/>
        <v>High</v>
      </c>
      <c r="T334" s="8" t="str">
        <f t="shared" si="35"/>
        <v>High</v>
      </c>
      <c r="U334" s="8"/>
    </row>
    <row r="335" spans="1:21" ht="14.25" customHeight="1">
      <c r="A335" s="1">
        <v>10434</v>
      </c>
      <c r="B335" s="1">
        <v>1882</v>
      </c>
      <c r="C335" s="2">
        <v>45057</v>
      </c>
      <c r="D335" s="2">
        <v>45062</v>
      </c>
      <c r="E335" s="1" t="s">
        <v>45</v>
      </c>
      <c r="F335" s="1" t="s">
        <v>53</v>
      </c>
      <c r="G335" s="1" t="s">
        <v>23</v>
      </c>
      <c r="H335" s="1" t="s">
        <v>24</v>
      </c>
      <c r="I335" s="1" t="s">
        <v>18</v>
      </c>
      <c r="J335" s="1" t="s">
        <v>19</v>
      </c>
      <c r="K335" s="1" t="s">
        <v>44</v>
      </c>
      <c r="L335" s="1">
        <v>8</v>
      </c>
      <c r="M335" s="1">
        <v>437.36</v>
      </c>
      <c r="N335" s="7">
        <v>20</v>
      </c>
      <c r="O335" s="16">
        <f t="shared" si="30"/>
        <v>3498.88</v>
      </c>
      <c r="P335" s="18">
        <f t="shared" si="31"/>
        <v>699.77600000000007</v>
      </c>
      <c r="Q335" s="18">
        <f t="shared" si="32"/>
        <v>2799.1040000000003</v>
      </c>
      <c r="R335" s="14" t="str">
        <f t="shared" si="33"/>
        <v>High Sell</v>
      </c>
      <c r="S335" s="8" t="str">
        <f t="shared" si="34"/>
        <v>High</v>
      </c>
      <c r="T335" s="8" t="str">
        <f t="shared" si="35"/>
        <v>High</v>
      </c>
      <c r="U335" s="8"/>
    </row>
    <row r="336" spans="1:21" ht="14.25" customHeight="1">
      <c r="A336" s="1">
        <v>10435</v>
      </c>
      <c r="B336" s="1">
        <v>1469</v>
      </c>
      <c r="C336" s="2">
        <v>45002</v>
      </c>
      <c r="D336" s="2">
        <v>45009</v>
      </c>
      <c r="E336" s="1" t="s">
        <v>14</v>
      </c>
      <c r="F336" s="1" t="s">
        <v>28</v>
      </c>
      <c r="G336" s="1" t="s">
        <v>23</v>
      </c>
      <c r="H336" s="1" t="s">
        <v>43</v>
      </c>
      <c r="I336" s="1" t="s">
        <v>51</v>
      </c>
      <c r="J336" s="1" t="s">
        <v>55</v>
      </c>
      <c r="K336" s="1" t="s">
        <v>20</v>
      </c>
      <c r="L336" s="1">
        <v>3</v>
      </c>
      <c r="M336" s="1">
        <v>3644.78</v>
      </c>
      <c r="N336" s="7">
        <v>0</v>
      </c>
      <c r="O336" s="16">
        <f t="shared" si="30"/>
        <v>10934.34</v>
      </c>
      <c r="P336" s="18">
        <f t="shared" si="31"/>
        <v>0</v>
      </c>
      <c r="Q336" s="18">
        <f t="shared" si="32"/>
        <v>10934.34</v>
      </c>
      <c r="R336" s="14" t="str">
        <f t="shared" si="33"/>
        <v>Low Sell</v>
      </c>
      <c r="S336" s="8" t="str">
        <f t="shared" si="34"/>
        <v>Low</v>
      </c>
      <c r="T336" s="8" t="str">
        <f t="shared" si="35"/>
        <v>Low</v>
      </c>
      <c r="U336" s="8"/>
    </row>
    <row r="337" spans="1:21" ht="14.25" customHeight="1">
      <c r="A337" s="1">
        <v>10436</v>
      </c>
      <c r="B337" s="1">
        <v>1374</v>
      </c>
      <c r="C337" s="2">
        <v>45212</v>
      </c>
      <c r="D337" s="2">
        <v>45213</v>
      </c>
      <c r="E337" s="1" t="s">
        <v>14</v>
      </c>
      <c r="F337" s="1" t="s">
        <v>22</v>
      </c>
      <c r="G337" s="1" t="s">
        <v>29</v>
      </c>
      <c r="H337" s="1" t="s">
        <v>17</v>
      </c>
      <c r="I337" s="1" t="s">
        <v>51</v>
      </c>
      <c r="J337" s="1" t="s">
        <v>59</v>
      </c>
      <c r="K337" s="1" t="s">
        <v>20</v>
      </c>
      <c r="L337" s="1">
        <v>3</v>
      </c>
      <c r="M337" s="1">
        <v>3986.78</v>
      </c>
      <c r="N337" s="7">
        <v>20</v>
      </c>
      <c r="O337" s="16">
        <f t="shared" si="30"/>
        <v>11960.34</v>
      </c>
      <c r="P337" s="18">
        <f t="shared" si="31"/>
        <v>2392.0680000000002</v>
      </c>
      <c r="Q337" s="18">
        <f t="shared" si="32"/>
        <v>9568.2720000000008</v>
      </c>
      <c r="R337" s="14" t="str">
        <f t="shared" si="33"/>
        <v>Low Sell</v>
      </c>
      <c r="S337" s="8" t="str">
        <f t="shared" si="34"/>
        <v>Low</v>
      </c>
      <c r="T337" s="8" t="str">
        <f t="shared" si="35"/>
        <v>Low</v>
      </c>
      <c r="U337" s="8"/>
    </row>
    <row r="338" spans="1:21" ht="14.25" customHeight="1">
      <c r="A338" s="1">
        <v>10438</v>
      </c>
      <c r="B338" s="1">
        <v>1749</v>
      </c>
      <c r="C338" s="2">
        <v>45082</v>
      </c>
      <c r="D338" s="2">
        <v>45091</v>
      </c>
      <c r="E338" s="1" t="s">
        <v>45</v>
      </c>
      <c r="F338" s="1" t="s">
        <v>22</v>
      </c>
      <c r="G338" s="1" t="s">
        <v>29</v>
      </c>
      <c r="H338" s="1" t="s">
        <v>17</v>
      </c>
      <c r="I338" s="1" t="s">
        <v>25</v>
      </c>
      <c r="J338" s="1" t="s">
        <v>60</v>
      </c>
      <c r="K338" s="1" t="s">
        <v>46</v>
      </c>
      <c r="L338" s="1">
        <v>5</v>
      </c>
      <c r="M338" s="1">
        <v>3116.22</v>
      </c>
      <c r="N338" s="7">
        <v>10</v>
      </c>
      <c r="O338" s="16">
        <f t="shared" si="30"/>
        <v>15581.099999999999</v>
      </c>
      <c r="P338" s="18">
        <f t="shared" si="31"/>
        <v>1558.11</v>
      </c>
      <c r="Q338" s="18">
        <f t="shared" si="32"/>
        <v>14022.989999999998</v>
      </c>
      <c r="R338" s="14" t="str">
        <f t="shared" si="33"/>
        <v>High Sell</v>
      </c>
      <c r="S338" s="8" t="str">
        <f t="shared" si="34"/>
        <v>Medium</v>
      </c>
      <c r="T338" s="8" t="str">
        <f t="shared" si="35"/>
        <v>Medium</v>
      </c>
      <c r="U338" s="8"/>
    </row>
    <row r="339" spans="1:21" ht="14.25" customHeight="1">
      <c r="A339" s="1">
        <v>10439</v>
      </c>
      <c r="B339" s="1">
        <v>1669</v>
      </c>
      <c r="C339" s="2">
        <v>45174</v>
      </c>
      <c r="D339" s="2">
        <v>45179</v>
      </c>
      <c r="E339" s="1" t="s">
        <v>33</v>
      </c>
      <c r="F339" s="1" t="s">
        <v>28</v>
      </c>
      <c r="G339" s="1" t="s">
        <v>23</v>
      </c>
      <c r="H339" s="1" t="s">
        <v>34</v>
      </c>
      <c r="I339" s="1" t="s">
        <v>48</v>
      </c>
      <c r="J339" s="1" t="s">
        <v>50</v>
      </c>
      <c r="K339" s="1" t="s">
        <v>27</v>
      </c>
      <c r="L339" s="1">
        <v>3</v>
      </c>
      <c r="M339" s="1">
        <v>1448.62</v>
      </c>
      <c r="N339" s="7">
        <v>10</v>
      </c>
      <c r="O339" s="16">
        <f t="shared" si="30"/>
        <v>4345.8599999999997</v>
      </c>
      <c r="P339" s="18">
        <f t="shared" si="31"/>
        <v>434.58600000000001</v>
      </c>
      <c r="Q339" s="18">
        <f t="shared" si="32"/>
        <v>3911.2739999999994</v>
      </c>
      <c r="R339" s="14" t="str">
        <f t="shared" si="33"/>
        <v>Low Sell</v>
      </c>
      <c r="S339" s="8" t="str">
        <f t="shared" si="34"/>
        <v>Low</v>
      </c>
      <c r="T339" s="8" t="str">
        <f t="shared" si="35"/>
        <v>Low</v>
      </c>
      <c r="U339" s="8"/>
    </row>
    <row r="340" spans="1:21" ht="14.25" customHeight="1">
      <c r="A340" s="1">
        <v>10440</v>
      </c>
      <c r="B340" s="1">
        <v>1037</v>
      </c>
      <c r="C340" s="2">
        <v>45144</v>
      </c>
      <c r="D340" s="2">
        <v>45149</v>
      </c>
      <c r="E340" s="1" t="s">
        <v>36</v>
      </c>
      <c r="F340" s="1" t="s">
        <v>53</v>
      </c>
      <c r="G340" s="1" t="s">
        <v>16</v>
      </c>
      <c r="H340" s="1" t="s">
        <v>41</v>
      </c>
      <c r="I340" s="1" t="s">
        <v>48</v>
      </c>
      <c r="J340" s="1" t="s">
        <v>49</v>
      </c>
      <c r="K340" s="1" t="s">
        <v>32</v>
      </c>
      <c r="L340" s="1">
        <v>1</v>
      </c>
      <c r="M340" s="1">
        <v>3775.07</v>
      </c>
      <c r="N340" s="7">
        <v>10</v>
      </c>
      <c r="O340" s="16">
        <f t="shared" si="30"/>
        <v>3775.07</v>
      </c>
      <c r="P340" s="18">
        <f t="shared" si="31"/>
        <v>377.50700000000006</v>
      </c>
      <c r="Q340" s="18">
        <f t="shared" si="32"/>
        <v>3397.5630000000001</v>
      </c>
      <c r="R340" s="14" t="str">
        <f t="shared" si="33"/>
        <v>Low Sell</v>
      </c>
      <c r="S340" s="8" t="str">
        <f t="shared" si="34"/>
        <v>Low</v>
      </c>
      <c r="T340" s="8" t="str">
        <f t="shared" si="35"/>
        <v>Low</v>
      </c>
      <c r="U340" s="8"/>
    </row>
    <row r="341" spans="1:21" ht="14.25" customHeight="1">
      <c r="A341" s="1">
        <v>10441</v>
      </c>
      <c r="B341" s="1">
        <v>1229</v>
      </c>
      <c r="C341" s="2">
        <v>45116</v>
      </c>
      <c r="D341" s="2">
        <v>45119</v>
      </c>
      <c r="E341" s="1" t="s">
        <v>15</v>
      </c>
      <c r="F341" s="1" t="s">
        <v>22</v>
      </c>
      <c r="G341" s="1" t="s">
        <v>16</v>
      </c>
      <c r="H341" s="1" t="s">
        <v>41</v>
      </c>
      <c r="I341" s="1" t="s">
        <v>30</v>
      </c>
      <c r="J341" s="1" t="s">
        <v>64</v>
      </c>
      <c r="K341" s="1" t="s">
        <v>44</v>
      </c>
      <c r="L341" s="1">
        <v>3</v>
      </c>
      <c r="M341" s="1">
        <v>2189.4</v>
      </c>
      <c r="N341" s="7">
        <v>20</v>
      </c>
      <c r="O341" s="16">
        <f t="shared" si="30"/>
        <v>6568.2000000000007</v>
      </c>
      <c r="P341" s="18">
        <f t="shared" si="31"/>
        <v>1313.6400000000003</v>
      </c>
      <c r="Q341" s="18">
        <f t="shared" si="32"/>
        <v>5254.56</v>
      </c>
      <c r="R341" s="14" t="str">
        <f t="shared" si="33"/>
        <v>Low Sell</v>
      </c>
      <c r="S341" s="8" t="str">
        <f t="shared" si="34"/>
        <v>Low</v>
      </c>
      <c r="T341" s="8" t="str">
        <f t="shared" si="35"/>
        <v>Low</v>
      </c>
      <c r="U341" s="8"/>
    </row>
    <row r="342" spans="1:21" ht="14.25" customHeight="1">
      <c r="A342" s="1">
        <v>10442</v>
      </c>
      <c r="B342" s="1">
        <v>1364</v>
      </c>
      <c r="C342" s="2">
        <v>45089</v>
      </c>
      <c r="D342" s="2">
        <v>45094</v>
      </c>
      <c r="E342" s="1" t="s">
        <v>14</v>
      </c>
      <c r="F342" s="1" t="s">
        <v>22</v>
      </c>
      <c r="G342" s="1" t="s">
        <v>23</v>
      </c>
      <c r="H342" s="1" t="s">
        <v>34</v>
      </c>
      <c r="I342" s="1" t="s">
        <v>56</v>
      </c>
      <c r="J342" s="1" t="s">
        <v>57</v>
      </c>
      <c r="K342" s="1" t="s">
        <v>44</v>
      </c>
      <c r="L342" s="1">
        <v>9</v>
      </c>
      <c r="M342" s="1">
        <v>2969.7</v>
      </c>
      <c r="N342" s="7">
        <v>10</v>
      </c>
      <c r="O342" s="16">
        <f t="shared" si="30"/>
        <v>26727.3</v>
      </c>
      <c r="P342" s="18">
        <f t="shared" si="31"/>
        <v>2672.73</v>
      </c>
      <c r="Q342" s="18">
        <f t="shared" si="32"/>
        <v>24054.57</v>
      </c>
      <c r="R342" s="14" t="str">
        <f t="shared" si="33"/>
        <v>High Sell</v>
      </c>
      <c r="S342" s="8" t="str">
        <f t="shared" si="34"/>
        <v>High</v>
      </c>
      <c r="T342" s="8" t="str">
        <f t="shared" si="35"/>
        <v>High</v>
      </c>
      <c r="U342" s="8"/>
    </row>
    <row r="343" spans="1:21" ht="14.25" customHeight="1">
      <c r="A343" s="1">
        <v>10444</v>
      </c>
      <c r="B343" s="1">
        <v>1437</v>
      </c>
      <c r="C343" s="2">
        <v>44960</v>
      </c>
      <c r="D343" s="2">
        <v>44969</v>
      </c>
      <c r="E343" s="1" t="s">
        <v>39</v>
      </c>
      <c r="F343" s="1" t="s">
        <v>37</v>
      </c>
      <c r="G343" s="1" t="s">
        <v>29</v>
      </c>
      <c r="H343" s="1" t="s">
        <v>17</v>
      </c>
      <c r="I343" s="1" t="s">
        <v>30</v>
      </c>
      <c r="J343" s="1" t="s">
        <v>31</v>
      </c>
      <c r="K343" s="1" t="s">
        <v>20</v>
      </c>
      <c r="L343" s="1">
        <v>2</v>
      </c>
      <c r="M343" s="1">
        <v>3904.44</v>
      </c>
      <c r="N343" s="7">
        <v>10</v>
      </c>
      <c r="O343" s="16">
        <f t="shared" si="30"/>
        <v>7808.88</v>
      </c>
      <c r="P343" s="18">
        <f t="shared" si="31"/>
        <v>780.88800000000003</v>
      </c>
      <c r="Q343" s="18">
        <f t="shared" si="32"/>
        <v>7027.9920000000002</v>
      </c>
      <c r="R343" s="14" t="str">
        <f t="shared" si="33"/>
        <v>Low Sell</v>
      </c>
      <c r="S343" s="8" t="str">
        <f t="shared" si="34"/>
        <v>Low</v>
      </c>
      <c r="T343" s="8" t="str">
        <f t="shared" si="35"/>
        <v>Low</v>
      </c>
      <c r="U343" s="8"/>
    </row>
    <row r="344" spans="1:21" ht="14.25" customHeight="1">
      <c r="A344" s="1">
        <v>10447</v>
      </c>
      <c r="B344" s="1">
        <v>1026</v>
      </c>
      <c r="C344" s="2">
        <v>45264</v>
      </c>
      <c r="D344" s="2">
        <v>45265</v>
      </c>
      <c r="E344" s="1" t="s">
        <v>33</v>
      </c>
      <c r="F344" s="1" t="s">
        <v>37</v>
      </c>
      <c r="G344" s="1" t="s">
        <v>16</v>
      </c>
      <c r="H344" s="1" t="s">
        <v>34</v>
      </c>
      <c r="I344" s="1" t="s">
        <v>25</v>
      </c>
      <c r="J344" s="1" t="s">
        <v>67</v>
      </c>
      <c r="K344" s="1" t="s">
        <v>27</v>
      </c>
      <c r="L344" s="1">
        <v>4</v>
      </c>
      <c r="M344" s="1">
        <v>3871.21</v>
      </c>
      <c r="N344" s="7">
        <v>10</v>
      </c>
      <c r="O344" s="16">
        <f t="shared" si="30"/>
        <v>15484.84</v>
      </c>
      <c r="P344" s="18">
        <f t="shared" si="31"/>
        <v>1548.4840000000002</v>
      </c>
      <c r="Q344" s="18">
        <f t="shared" si="32"/>
        <v>13936.356</v>
      </c>
      <c r="R344" s="14" t="str">
        <f t="shared" si="33"/>
        <v>Low Sell</v>
      </c>
      <c r="S344" s="8" t="str">
        <f t="shared" si="34"/>
        <v>Low</v>
      </c>
      <c r="T344" s="8" t="str">
        <f t="shared" si="35"/>
        <v>Low</v>
      </c>
      <c r="U344" s="8"/>
    </row>
    <row r="345" spans="1:21" ht="14.25" customHeight="1">
      <c r="A345" s="1">
        <v>10448</v>
      </c>
      <c r="B345" s="1">
        <v>1225</v>
      </c>
      <c r="C345" s="2">
        <v>45240</v>
      </c>
      <c r="D345" s="2">
        <v>45247</v>
      </c>
      <c r="E345" s="1" t="s">
        <v>39</v>
      </c>
      <c r="F345" s="1" t="s">
        <v>37</v>
      </c>
      <c r="G345" s="1" t="s">
        <v>29</v>
      </c>
      <c r="H345" s="1" t="s">
        <v>17</v>
      </c>
      <c r="I345" s="1" t="s">
        <v>18</v>
      </c>
      <c r="J345" s="1" t="s">
        <v>19</v>
      </c>
      <c r="K345" s="1" t="s">
        <v>32</v>
      </c>
      <c r="L345" s="1">
        <v>7</v>
      </c>
      <c r="M345" s="1">
        <v>2568.2600000000002</v>
      </c>
      <c r="N345" s="7">
        <v>10</v>
      </c>
      <c r="O345" s="16">
        <f t="shared" si="30"/>
        <v>17977.82</v>
      </c>
      <c r="P345" s="18">
        <f t="shared" si="31"/>
        <v>1797.7820000000002</v>
      </c>
      <c r="Q345" s="18">
        <f t="shared" si="32"/>
        <v>16180.038</v>
      </c>
      <c r="R345" s="14" t="str">
        <f t="shared" si="33"/>
        <v>High Sell</v>
      </c>
      <c r="S345" s="8" t="str">
        <f t="shared" si="34"/>
        <v>High</v>
      </c>
      <c r="T345" s="8" t="str">
        <f t="shared" si="35"/>
        <v>High</v>
      </c>
      <c r="U345" s="8"/>
    </row>
    <row r="346" spans="1:21" ht="14.25" customHeight="1">
      <c r="A346" s="1">
        <v>10452</v>
      </c>
      <c r="B346" s="1">
        <v>1283</v>
      </c>
      <c r="C346" s="2">
        <v>45076</v>
      </c>
      <c r="D346" s="2">
        <v>45082</v>
      </c>
      <c r="E346" s="1" t="s">
        <v>45</v>
      </c>
      <c r="F346" s="1" t="s">
        <v>22</v>
      </c>
      <c r="G346" s="1" t="s">
        <v>23</v>
      </c>
      <c r="H346" s="1" t="s">
        <v>41</v>
      </c>
      <c r="I346" s="1" t="s">
        <v>48</v>
      </c>
      <c r="J346" s="1" t="s">
        <v>66</v>
      </c>
      <c r="K346" s="1" t="s">
        <v>27</v>
      </c>
      <c r="L346" s="1">
        <v>1</v>
      </c>
      <c r="M346" s="1">
        <v>1574.59</v>
      </c>
      <c r="N346" s="7">
        <v>5</v>
      </c>
      <c r="O346" s="16">
        <f t="shared" si="30"/>
        <v>1574.59</v>
      </c>
      <c r="P346" s="18">
        <f t="shared" si="31"/>
        <v>78.729500000000002</v>
      </c>
      <c r="Q346" s="18">
        <f t="shared" si="32"/>
        <v>1495.8605</v>
      </c>
      <c r="R346" s="14" t="str">
        <f t="shared" si="33"/>
        <v>Low Sell</v>
      </c>
      <c r="S346" s="8" t="str">
        <f t="shared" si="34"/>
        <v>Low</v>
      </c>
      <c r="T346" s="8" t="str">
        <f t="shared" si="35"/>
        <v>Low</v>
      </c>
      <c r="U346" s="8"/>
    </row>
    <row r="347" spans="1:21" ht="14.25" customHeight="1">
      <c r="A347" s="1">
        <v>10454</v>
      </c>
      <c r="B347" s="1">
        <v>1959</v>
      </c>
      <c r="C347" s="2">
        <v>45251</v>
      </c>
      <c r="D347" s="2">
        <v>45255</v>
      </c>
      <c r="E347" s="1" t="s">
        <v>33</v>
      </c>
      <c r="F347" s="1" t="s">
        <v>40</v>
      </c>
      <c r="G347" s="1" t="s">
        <v>16</v>
      </c>
      <c r="H347" s="1" t="s">
        <v>24</v>
      </c>
      <c r="I347" s="1" t="s">
        <v>56</v>
      </c>
      <c r="J347" s="1" t="s">
        <v>57</v>
      </c>
      <c r="K347" s="1" t="s">
        <v>27</v>
      </c>
      <c r="L347" s="1">
        <v>9</v>
      </c>
      <c r="M347" s="1">
        <v>3191.56</v>
      </c>
      <c r="N347" s="7">
        <v>20</v>
      </c>
      <c r="O347" s="16">
        <f t="shared" si="30"/>
        <v>28724.04</v>
      </c>
      <c r="P347" s="18">
        <f t="shared" si="31"/>
        <v>5744.8080000000009</v>
      </c>
      <c r="Q347" s="18">
        <f t="shared" si="32"/>
        <v>22979.232</v>
      </c>
      <c r="R347" s="14" t="str">
        <f t="shared" si="33"/>
        <v>High Sell</v>
      </c>
      <c r="S347" s="8" t="str">
        <f t="shared" si="34"/>
        <v>High</v>
      </c>
      <c r="T347" s="8" t="str">
        <f t="shared" si="35"/>
        <v>High</v>
      </c>
      <c r="U347" s="8"/>
    </row>
    <row r="348" spans="1:21" ht="14.25" customHeight="1">
      <c r="A348" s="1">
        <v>10455</v>
      </c>
      <c r="B348" s="1">
        <v>1480</v>
      </c>
      <c r="C348" s="2">
        <v>45034</v>
      </c>
      <c r="D348" s="2">
        <v>45036</v>
      </c>
      <c r="E348" s="1" t="s">
        <v>14</v>
      </c>
      <c r="F348" s="1" t="s">
        <v>28</v>
      </c>
      <c r="G348" s="1" t="s">
        <v>16</v>
      </c>
      <c r="H348" s="1" t="s">
        <v>17</v>
      </c>
      <c r="I348" s="1" t="s">
        <v>51</v>
      </c>
      <c r="J348" s="1" t="s">
        <v>63</v>
      </c>
      <c r="K348" s="1" t="s">
        <v>44</v>
      </c>
      <c r="L348" s="1">
        <v>2</v>
      </c>
      <c r="M348" s="1">
        <v>1374.23</v>
      </c>
      <c r="N348" s="7">
        <v>0</v>
      </c>
      <c r="O348" s="16">
        <f t="shared" si="30"/>
        <v>2748.46</v>
      </c>
      <c r="P348" s="18">
        <f t="shared" si="31"/>
        <v>0</v>
      </c>
      <c r="Q348" s="18">
        <f t="shared" si="32"/>
        <v>2748.46</v>
      </c>
      <c r="R348" s="14" t="str">
        <f t="shared" si="33"/>
        <v>Low Sell</v>
      </c>
      <c r="S348" s="8" t="str">
        <f t="shared" si="34"/>
        <v>Low</v>
      </c>
      <c r="T348" s="8" t="str">
        <f t="shared" si="35"/>
        <v>Low</v>
      </c>
      <c r="U348" s="8"/>
    </row>
    <row r="349" spans="1:21" ht="14.25" customHeight="1">
      <c r="A349" s="1">
        <v>10457</v>
      </c>
      <c r="B349" s="1">
        <v>1828</v>
      </c>
      <c r="C349" s="2">
        <v>45276</v>
      </c>
      <c r="D349" s="2">
        <v>45280</v>
      </c>
      <c r="E349" s="1" t="s">
        <v>45</v>
      </c>
      <c r="F349" s="1" t="s">
        <v>28</v>
      </c>
      <c r="G349" s="1" t="s">
        <v>23</v>
      </c>
      <c r="H349" s="1" t="s">
        <v>43</v>
      </c>
      <c r="I349" s="1" t="s">
        <v>25</v>
      </c>
      <c r="J349" s="1" t="s">
        <v>26</v>
      </c>
      <c r="K349" s="1" t="s">
        <v>27</v>
      </c>
      <c r="L349" s="1">
        <v>5</v>
      </c>
      <c r="M349" s="1">
        <v>1480.66</v>
      </c>
      <c r="N349" s="7">
        <v>0</v>
      </c>
      <c r="O349" s="16">
        <f t="shared" si="30"/>
        <v>7403.3</v>
      </c>
      <c r="P349" s="18">
        <f t="shared" si="31"/>
        <v>0</v>
      </c>
      <c r="Q349" s="18">
        <f t="shared" si="32"/>
        <v>7403.3</v>
      </c>
      <c r="R349" s="14" t="str">
        <f t="shared" si="33"/>
        <v>High Sell</v>
      </c>
      <c r="S349" s="8" t="str">
        <f t="shared" si="34"/>
        <v>Medium</v>
      </c>
      <c r="T349" s="8" t="str">
        <f t="shared" si="35"/>
        <v>Medium</v>
      </c>
      <c r="U349" s="8"/>
    </row>
    <row r="350" spans="1:21" ht="14.25" customHeight="1">
      <c r="A350" s="1">
        <v>10460</v>
      </c>
      <c r="B350" s="1">
        <v>1515</v>
      </c>
      <c r="C350" s="2">
        <v>45215</v>
      </c>
      <c r="D350" s="2">
        <v>45221</v>
      </c>
      <c r="E350" s="1" t="s">
        <v>21</v>
      </c>
      <c r="F350" s="1" t="s">
        <v>28</v>
      </c>
      <c r="G350" s="1" t="s">
        <v>23</v>
      </c>
      <c r="H350" s="1" t="s">
        <v>24</v>
      </c>
      <c r="I350" s="1" t="s">
        <v>48</v>
      </c>
      <c r="J350" s="1" t="s">
        <v>49</v>
      </c>
      <c r="K350" s="1" t="s">
        <v>20</v>
      </c>
      <c r="L350" s="1">
        <v>1</v>
      </c>
      <c r="M350" s="1">
        <v>445.38</v>
      </c>
      <c r="N350" s="7">
        <v>10</v>
      </c>
      <c r="O350" s="16">
        <f t="shared" si="30"/>
        <v>445.38</v>
      </c>
      <c r="P350" s="18">
        <f t="shared" si="31"/>
        <v>44.538000000000004</v>
      </c>
      <c r="Q350" s="18">
        <f t="shared" si="32"/>
        <v>400.84199999999998</v>
      </c>
      <c r="R350" s="14" t="str">
        <f t="shared" si="33"/>
        <v>Low Sell</v>
      </c>
      <c r="S350" s="8" t="str">
        <f t="shared" si="34"/>
        <v>Low</v>
      </c>
      <c r="T350" s="8" t="str">
        <f t="shared" si="35"/>
        <v>Low</v>
      </c>
      <c r="U350" s="8"/>
    </row>
    <row r="351" spans="1:21" ht="14.25" customHeight="1">
      <c r="A351" s="1">
        <v>10463</v>
      </c>
      <c r="B351" s="1">
        <v>1048</v>
      </c>
      <c r="C351" s="2">
        <v>44992</v>
      </c>
      <c r="D351" s="2">
        <v>45000</v>
      </c>
      <c r="E351" s="1" t="s">
        <v>21</v>
      </c>
      <c r="F351" s="1" t="s">
        <v>15</v>
      </c>
      <c r="G351" s="1" t="s">
        <v>23</v>
      </c>
      <c r="H351" s="1" t="s">
        <v>34</v>
      </c>
      <c r="I351" s="1" t="s">
        <v>25</v>
      </c>
      <c r="J351" s="1" t="s">
        <v>35</v>
      </c>
      <c r="K351" s="1" t="s">
        <v>46</v>
      </c>
      <c r="L351" s="1">
        <v>5</v>
      </c>
      <c r="M351" s="1">
        <v>2072.3200000000002</v>
      </c>
      <c r="N351" s="7">
        <v>15</v>
      </c>
      <c r="O351" s="16">
        <f t="shared" si="30"/>
        <v>10361.6</v>
      </c>
      <c r="P351" s="18">
        <f t="shared" si="31"/>
        <v>1554.24</v>
      </c>
      <c r="Q351" s="18">
        <f t="shared" si="32"/>
        <v>8807.36</v>
      </c>
      <c r="R351" s="14" t="str">
        <f t="shared" si="33"/>
        <v>High Sell</v>
      </c>
      <c r="S351" s="8" t="str">
        <f t="shared" si="34"/>
        <v>Medium</v>
      </c>
      <c r="T351" s="8" t="str">
        <f t="shared" si="35"/>
        <v>Medium</v>
      </c>
      <c r="U351" s="8"/>
    </row>
    <row r="352" spans="1:21" ht="14.25" customHeight="1">
      <c r="A352" s="1">
        <v>10464</v>
      </c>
      <c r="B352" s="1">
        <v>1511</v>
      </c>
      <c r="C352" s="2">
        <v>45174</v>
      </c>
      <c r="D352" s="2">
        <v>45176</v>
      </c>
      <c r="E352" s="1" t="s">
        <v>45</v>
      </c>
      <c r="F352" s="1" t="s">
        <v>22</v>
      </c>
      <c r="G352" s="1" t="s">
        <v>29</v>
      </c>
      <c r="H352" s="1" t="s">
        <v>41</v>
      </c>
      <c r="I352" s="1" t="s">
        <v>30</v>
      </c>
      <c r="J352" s="1" t="s">
        <v>64</v>
      </c>
      <c r="K352" s="1" t="s">
        <v>46</v>
      </c>
      <c r="L352" s="1">
        <v>1</v>
      </c>
      <c r="M352" s="1">
        <v>559.4</v>
      </c>
      <c r="N352" s="7">
        <v>20</v>
      </c>
      <c r="O352" s="16">
        <f t="shared" si="30"/>
        <v>559.4</v>
      </c>
      <c r="P352" s="18">
        <f t="shared" si="31"/>
        <v>111.88</v>
      </c>
      <c r="Q352" s="18">
        <f t="shared" si="32"/>
        <v>447.52</v>
      </c>
      <c r="R352" s="14" t="str">
        <f t="shared" si="33"/>
        <v>Low Sell</v>
      </c>
      <c r="S352" s="8" t="str">
        <f t="shared" si="34"/>
        <v>Low</v>
      </c>
      <c r="T352" s="8" t="str">
        <f t="shared" si="35"/>
        <v>Low</v>
      </c>
      <c r="U352" s="8"/>
    </row>
    <row r="353" spans="1:21" ht="14.25" customHeight="1">
      <c r="A353" s="1">
        <v>10465</v>
      </c>
      <c r="B353" s="1">
        <v>1016</v>
      </c>
      <c r="C353" s="2">
        <v>45082</v>
      </c>
      <c r="D353" s="2">
        <v>45089</v>
      </c>
      <c r="E353" s="1" t="s">
        <v>36</v>
      </c>
      <c r="F353" s="1" t="s">
        <v>22</v>
      </c>
      <c r="G353" s="1" t="s">
        <v>29</v>
      </c>
      <c r="H353" s="1" t="s">
        <v>43</v>
      </c>
      <c r="I353" s="1" t="s">
        <v>18</v>
      </c>
      <c r="J353" s="1" t="s">
        <v>42</v>
      </c>
      <c r="K353" s="1" t="s">
        <v>32</v>
      </c>
      <c r="L353" s="1">
        <v>4</v>
      </c>
      <c r="M353" s="1">
        <v>589.44000000000005</v>
      </c>
      <c r="N353" s="7">
        <v>20</v>
      </c>
      <c r="O353" s="16">
        <f t="shared" si="30"/>
        <v>2357.7600000000002</v>
      </c>
      <c r="P353" s="18">
        <f t="shared" si="31"/>
        <v>471.55200000000008</v>
      </c>
      <c r="Q353" s="18">
        <f t="shared" si="32"/>
        <v>1886.2080000000001</v>
      </c>
      <c r="R353" s="14" t="str">
        <f t="shared" si="33"/>
        <v>Low Sell</v>
      </c>
      <c r="S353" s="8" t="str">
        <f t="shared" si="34"/>
        <v>Low</v>
      </c>
      <c r="T353" s="8" t="str">
        <f t="shared" si="35"/>
        <v>Low</v>
      </c>
      <c r="U353" s="8"/>
    </row>
    <row r="354" spans="1:21" ht="14.25" customHeight="1">
      <c r="A354" s="1">
        <v>10466</v>
      </c>
      <c r="B354" s="1">
        <v>1171</v>
      </c>
      <c r="C354" s="2">
        <v>44973</v>
      </c>
      <c r="D354" s="2">
        <v>44975</v>
      </c>
      <c r="E354" s="1" t="s">
        <v>15</v>
      </c>
      <c r="F354" s="1" t="s">
        <v>40</v>
      </c>
      <c r="G354" s="1" t="s">
        <v>29</v>
      </c>
      <c r="H354" s="1" t="s">
        <v>34</v>
      </c>
      <c r="I354" s="1" t="s">
        <v>18</v>
      </c>
      <c r="J354" s="1" t="s">
        <v>42</v>
      </c>
      <c r="K354" s="1" t="s">
        <v>27</v>
      </c>
      <c r="L354" s="1">
        <v>6</v>
      </c>
      <c r="M354" s="1">
        <v>3773.04</v>
      </c>
      <c r="N354" s="7">
        <v>0</v>
      </c>
      <c r="O354" s="16">
        <f t="shared" si="30"/>
        <v>22638.239999999998</v>
      </c>
      <c r="P354" s="18">
        <f t="shared" si="31"/>
        <v>0</v>
      </c>
      <c r="Q354" s="18">
        <f t="shared" si="32"/>
        <v>22638.239999999998</v>
      </c>
      <c r="R354" s="14" t="str">
        <f t="shared" si="33"/>
        <v>High Sell</v>
      </c>
      <c r="S354" s="8" t="str">
        <f t="shared" si="34"/>
        <v>High</v>
      </c>
      <c r="T354" s="8" t="str">
        <f t="shared" si="35"/>
        <v>High</v>
      </c>
      <c r="U354" s="8"/>
    </row>
    <row r="355" spans="1:21" ht="14.25" customHeight="1">
      <c r="A355" s="1">
        <v>10468</v>
      </c>
      <c r="B355" s="1">
        <v>1157</v>
      </c>
      <c r="C355" s="2">
        <v>45074</v>
      </c>
      <c r="D355" s="2">
        <v>45082</v>
      </c>
      <c r="E355" s="1" t="s">
        <v>21</v>
      </c>
      <c r="F355" s="1" t="s">
        <v>15</v>
      </c>
      <c r="G355" s="1" t="s">
        <v>16</v>
      </c>
      <c r="H355" s="1" t="s">
        <v>17</v>
      </c>
      <c r="I355" s="1" t="s">
        <v>56</v>
      </c>
      <c r="J355" s="1" t="s">
        <v>58</v>
      </c>
      <c r="K355" s="1" t="s">
        <v>44</v>
      </c>
      <c r="L355" s="1">
        <v>9</v>
      </c>
      <c r="M355" s="1">
        <v>1890.53</v>
      </c>
      <c r="N355" s="7">
        <v>15</v>
      </c>
      <c r="O355" s="16">
        <f t="shared" si="30"/>
        <v>17014.77</v>
      </c>
      <c r="P355" s="18">
        <f t="shared" si="31"/>
        <v>2552.2154999999998</v>
      </c>
      <c r="Q355" s="18">
        <f t="shared" si="32"/>
        <v>14462.5545</v>
      </c>
      <c r="R355" s="14" t="str">
        <f t="shared" si="33"/>
        <v>High Sell</v>
      </c>
      <c r="S355" s="8" t="str">
        <f t="shared" si="34"/>
        <v>High</v>
      </c>
      <c r="T355" s="8" t="str">
        <f t="shared" si="35"/>
        <v>High</v>
      </c>
      <c r="U355" s="8"/>
    </row>
    <row r="356" spans="1:21" ht="14.25" customHeight="1">
      <c r="A356" s="1">
        <v>10470</v>
      </c>
      <c r="B356" s="1">
        <v>1045</v>
      </c>
      <c r="C356" s="2">
        <v>44927</v>
      </c>
      <c r="D356" s="2">
        <v>44936</v>
      </c>
      <c r="E356" s="1" t="s">
        <v>33</v>
      </c>
      <c r="F356" s="1" t="s">
        <v>28</v>
      </c>
      <c r="G356" s="1" t="s">
        <v>29</v>
      </c>
      <c r="H356" s="1" t="s">
        <v>17</v>
      </c>
      <c r="I356" s="1" t="s">
        <v>25</v>
      </c>
      <c r="J356" s="1" t="s">
        <v>35</v>
      </c>
      <c r="K356" s="1" t="s">
        <v>27</v>
      </c>
      <c r="L356" s="1">
        <v>8</v>
      </c>
      <c r="M356" s="1">
        <v>150.72</v>
      </c>
      <c r="N356" s="7">
        <v>5</v>
      </c>
      <c r="O356" s="16">
        <f t="shared" si="30"/>
        <v>1205.76</v>
      </c>
      <c r="P356" s="18">
        <f t="shared" si="31"/>
        <v>60.288000000000004</v>
      </c>
      <c r="Q356" s="18">
        <f t="shared" si="32"/>
        <v>1145.472</v>
      </c>
      <c r="R356" s="14" t="str">
        <f t="shared" si="33"/>
        <v>High Sell</v>
      </c>
      <c r="S356" s="8" t="str">
        <f t="shared" si="34"/>
        <v>High</v>
      </c>
      <c r="T356" s="8" t="str">
        <f t="shared" si="35"/>
        <v>High</v>
      </c>
      <c r="U356" s="8"/>
    </row>
    <row r="357" spans="1:21" ht="14.25" customHeight="1">
      <c r="A357" s="1">
        <v>10472</v>
      </c>
      <c r="B357" s="1">
        <v>1517</v>
      </c>
      <c r="C357" s="2">
        <v>45269</v>
      </c>
      <c r="D357" s="2">
        <v>45278</v>
      </c>
      <c r="E357" s="1" t="s">
        <v>14</v>
      </c>
      <c r="F357" s="1" t="s">
        <v>53</v>
      </c>
      <c r="G357" s="1" t="s">
        <v>29</v>
      </c>
      <c r="H357" s="1" t="s">
        <v>34</v>
      </c>
      <c r="I357" s="1" t="s">
        <v>30</v>
      </c>
      <c r="J357" s="1" t="s">
        <v>47</v>
      </c>
      <c r="K357" s="1" t="s">
        <v>27</v>
      </c>
      <c r="L357" s="1">
        <v>5</v>
      </c>
      <c r="M357" s="1">
        <v>2523.25</v>
      </c>
      <c r="N357" s="7">
        <v>10</v>
      </c>
      <c r="O357" s="16">
        <f t="shared" si="30"/>
        <v>12616.25</v>
      </c>
      <c r="P357" s="18">
        <f t="shared" si="31"/>
        <v>1261.625</v>
      </c>
      <c r="Q357" s="18">
        <f t="shared" si="32"/>
        <v>11354.625</v>
      </c>
      <c r="R357" s="14" t="str">
        <f t="shared" si="33"/>
        <v>High Sell</v>
      </c>
      <c r="S357" s="8" t="str">
        <f t="shared" si="34"/>
        <v>Medium</v>
      </c>
      <c r="T357" s="8" t="str">
        <f t="shared" si="35"/>
        <v>Medium</v>
      </c>
      <c r="U357" s="8"/>
    </row>
    <row r="358" spans="1:21" ht="14.25" customHeight="1">
      <c r="A358" s="1">
        <v>10480</v>
      </c>
      <c r="B358" s="1">
        <v>1301</v>
      </c>
      <c r="C358" s="2">
        <v>45117</v>
      </c>
      <c r="D358" s="2">
        <v>45119</v>
      </c>
      <c r="E358" s="1" t="s">
        <v>15</v>
      </c>
      <c r="F358" s="1" t="s">
        <v>28</v>
      </c>
      <c r="G358" s="1" t="s">
        <v>16</v>
      </c>
      <c r="H358" s="1" t="s">
        <v>43</v>
      </c>
      <c r="I358" s="1" t="s">
        <v>25</v>
      </c>
      <c r="J358" s="1" t="s">
        <v>35</v>
      </c>
      <c r="K358" s="1" t="s">
        <v>46</v>
      </c>
      <c r="L358" s="1">
        <v>6</v>
      </c>
      <c r="M358" s="1">
        <v>845</v>
      </c>
      <c r="N358" s="7">
        <v>15</v>
      </c>
      <c r="O358" s="16">
        <f t="shared" si="30"/>
        <v>5070</v>
      </c>
      <c r="P358" s="18">
        <f t="shared" si="31"/>
        <v>760.5</v>
      </c>
      <c r="Q358" s="18">
        <f t="shared" si="32"/>
        <v>4309.5</v>
      </c>
      <c r="R358" s="14" t="str">
        <f t="shared" si="33"/>
        <v>High Sell</v>
      </c>
      <c r="S358" s="8" t="str">
        <f t="shared" si="34"/>
        <v>High</v>
      </c>
      <c r="T358" s="8" t="str">
        <f t="shared" si="35"/>
        <v>High</v>
      </c>
      <c r="U358" s="8"/>
    </row>
    <row r="359" spans="1:21" ht="14.25" customHeight="1">
      <c r="A359" s="1">
        <v>10481</v>
      </c>
      <c r="B359" s="1">
        <v>1180</v>
      </c>
      <c r="C359" s="2">
        <v>44947</v>
      </c>
      <c r="D359" s="2">
        <v>44955</v>
      </c>
      <c r="E359" s="1" t="s">
        <v>33</v>
      </c>
      <c r="F359" s="1" t="s">
        <v>40</v>
      </c>
      <c r="G359" s="1" t="s">
        <v>16</v>
      </c>
      <c r="H359" s="1" t="s">
        <v>43</v>
      </c>
      <c r="I359" s="1" t="s">
        <v>48</v>
      </c>
      <c r="J359" s="1" t="s">
        <v>49</v>
      </c>
      <c r="K359" s="1" t="s">
        <v>46</v>
      </c>
      <c r="L359" s="1">
        <v>8</v>
      </c>
      <c r="M359" s="1">
        <v>1160.51</v>
      </c>
      <c r="N359" s="7">
        <v>0</v>
      </c>
      <c r="O359" s="16">
        <f t="shared" si="30"/>
        <v>9284.08</v>
      </c>
      <c r="P359" s="18">
        <f t="shared" si="31"/>
        <v>0</v>
      </c>
      <c r="Q359" s="18">
        <f t="shared" si="32"/>
        <v>9284.08</v>
      </c>
      <c r="R359" s="14" t="str">
        <f t="shared" si="33"/>
        <v>High Sell</v>
      </c>
      <c r="S359" s="8" t="str">
        <f t="shared" si="34"/>
        <v>High</v>
      </c>
      <c r="T359" s="8" t="str">
        <f t="shared" si="35"/>
        <v>High</v>
      </c>
      <c r="U359" s="8"/>
    </row>
    <row r="360" spans="1:21" ht="14.25" customHeight="1">
      <c r="A360" s="1">
        <v>10482</v>
      </c>
      <c r="B360" s="1">
        <v>1606</v>
      </c>
      <c r="C360" s="2">
        <v>45153</v>
      </c>
      <c r="D360" s="2">
        <v>45162</v>
      </c>
      <c r="E360" s="1" t="s">
        <v>33</v>
      </c>
      <c r="F360" s="1" t="s">
        <v>53</v>
      </c>
      <c r="G360" s="1" t="s">
        <v>23</v>
      </c>
      <c r="H360" s="1" t="s">
        <v>24</v>
      </c>
      <c r="I360" s="1" t="s">
        <v>56</v>
      </c>
      <c r="J360" s="1" t="s">
        <v>65</v>
      </c>
      <c r="K360" s="1" t="s">
        <v>32</v>
      </c>
      <c r="L360" s="1">
        <v>7</v>
      </c>
      <c r="M360" s="1">
        <v>2172.2399999999998</v>
      </c>
      <c r="N360" s="7">
        <v>20</v>
      </c>
      <c r="O360" s="16">
        <f t="shared" si="30"/>
        <v>15205.679999999998</v>
      </c>
      <c r="P360" s="18">
        <f t="shared" si="31"/>
        <v>3041.136</v>
      </c>
      <c r="Q360" s="18">
        <f t="shared" si="32"/>
        <v>12164.543999999998</v>
      </c>
      <c r="R360" s="14" t="str">
        <f t="shared" si="33"/>
        <v>High Sell</v>
      </c>
      <c r="S360" s="8" t="str">
        <f t="shared" si="34"/>
        <v>High</v>
      </c>
      <c r="T360" s="8" t="str">
        <f t="shared" si="35"/>
        <v>High</v>
      </c>
      <c r="U360" s="8"/>
    </row>
    <row r="361" spans="1:21" ht="14.25" customHeight="1">
      <c r="A361" s="1">
        <v>10485</v>
      </c>
      <c r="B361" s="1">
        <v>1992</v>
      </c>
      <c r="C361" s="2">
        <v>45228</v>
      </c>
      <c r="D361" s="2">
        <v>45237</v>
      </c>
      <c r="E361" s="1" t="s">
        <v>15</v>
      </c>
      <c r="F361" s="1" t="s">
        <v>15</v>
      </c>
      <c r="G361" s="1" t="s">
        <v>16</v>
      </c>
      <c r="H361" s="1" t="s">
        <v>41</v>
      </c>
      <c r="I361" s="1" t="s">
        <v>18</v>
      </c>
      <c r="J361" s="1" t="s">
        <v>42</v>
      </c>
      <c r="K361" s="1" t="s">
        <v>44</v>
      </c>
      <c r="L361" s="1">
        <v>2</v>
      </c>
      <c r="M361" s="1">
        <v>1294.8399999999999</v>
      </c>
      <c r="N361" s="7">
        <v>15</v>
      </c>
      <c r="O361" s="16">
        <f t="shared" si="30"/>
        <v>2589.6799999999998</v>
      </c>
      <c r="P361" s="18">
        <f t="shared" si="31"/>
        <v>388.45199999999994</v>
      </c>
      <c r="Q361" s="18">
        <f t="shared" si="32"/>
        <v>2201.2280000000001</v>
      </c>
      <c r="R361" s="14" t="str">
        <f t="shared" si="33"/>
        <v>Low Sell</v>
      </c>
      <c r="S361" s="8" t="str">
        <f t="shared" si="34"/>
        <v>Low</v>
      </c>
      <c r="T361" s="8" t="str">
        <f t="shared" si="35"/>
        <v>Low</v>
      </c>
      <c r="U361" s="8"/>
    </row>
    <row r="362" spans="1:21" ht="14.25" customHeight="1">
      <c r="A362" s="1">
        <v>10486</v>
      </c>
      <c r="B362" s="1">
        <v>1115</v>
      </c>
      <c r="C362" s="2">
        <v>45068</v>
      </c>
      <c r="D362" s="2">
        <v>45077</v>
      </c>
      <c r="E362" s="1" t="s">
        <v>15</v>
      </c>
      <c r="F362" s="1" t="s">
        <v>40</v>
      </c>
      <c r="G362" s="1" t="s">
        <v>23</v>
      </c>
      <c r="H362" s="1" t="s">
        <v>41</v>
      </c>
      <c r="I362" s="1" t="s">
        <v>48</v>
      </c>
      <c r="J362" s="1" t="s">
        <v>62</v>
      </c>
      <c r="K362" s="1" t="s">
        <v>32</v>
      </c>
      <c r="L362" s="1">
        <v>9</v>
      </c>
      <c r="M362" s="1">
        <v>775.77</v>
      </c>
      <c r="N362" s="7">
        <v>0</v>
      </c>
      <c r="O362" s="16">
        <f t="shared" si="30"/>
        <v>6981.93</v>
      </c>
      <c r="P362" s="18">
        <f t="shared" si="31"/>
        <v>0</v>
      </c>
      <c r="Q362" s="18">
        <f t="shared" si="32"/>
        <v>6981.93</v>
      </c>
      <c r="R362" s="14" t="str">
        <f t="shared" si="33"/>
        <v>High Sell</v>
      </c>
      <c r="S362" s="8" t="str">
        <f t="shared" si="34"/>
        <v>High</v>
      </c>
      <c r="T362" s="8" t="str">
        <f t="shared" si="35"/>
        <v>High</v>
      </c>
      <c r="U362" s="8"/>
    </row>
    <row r="363" spans="1:21" ht="14.25" customHeight="1">
      <c r="A363" s="1">
        <v>10487</v>
      </c>
      <c r="B363" s="1">
        <v>1190</v>
      </c>
      <c r="C363" s="2">
        <v>44965</v>
      </c>
      <c r="D363" s="2">
        <v>44966</v>
      </c>
      <c r="E363" s="1" t="s">
        <v>39</v>
      </c>
      <c r="F363" s="1" t="s">
        <v>15</v>
      </c>
      <c r="G363" s="1" t="s">
        <v>29</v>
      </c>
      <c r="H363" s="1" t="s">
        <v>24</v>
      </c>
      <c r="I363" s="1" t="s">
        <v>51</v>
      </c>
      <c r="J363" s="1" t="s">
        <v>52</v>
      </c>
      <c r="K363" s="1" t="s">
        <v>20</v>
      </c>
      <c r="L363" s="1">
        <v>4</v>
      </c>
      <c r="M363" s="1">
        <v>2751.14</v>
      </c>
      <c r="N363" s="7">
        <v>20</v>
      </c>
      <c r="O363" s="16">
        <f t="shared" si="30"/>
        <v>11004.56</v>
      </c>
      <c r="P363" s="18">
        <f t="shared" si="31"/>
        <v>2200.9119999999998</v>
      </c>
      <c r="Q363" s="18">
        <f t="shared" si="32"/>
        <v>8803.6479999999992</v>
      </c>
      <c r="R363" s="14" t="str">
        <f t="shared" si="33"/>
        <v>Low Sell</v>
      </c>
      <c r="S363" s="8" t="str">
        <f t="shared" si="34"/>
        <v>Low</v>
      </c>
      <c r="T363" s="8" t="str">
        <f t="shared" si="35"/>
        <v>Low</v>
      </c>
      <c r="U363" s="8"/>
    </row>
    <row r="364" spans="1:21" ht="14.25" customHeight="1">
      <c r="A364" s="1">
        <v>10489</v>
      </c>
      <c r="B364" s="1">
        <v>1980</v>
      </c>
      <c r="C364" s="2">
        <v>45178</v>
      </c>
      <c r="D364" s="2">
        <v>45187</v>
      </c>
      <c r="E364" s="1" t="s">
        <v>33</v>
      </c>
      <c r="F364" s="1" t="s">
        <v>22</v>
      </c>
      <c r="G364" s="1" t="s">
        <v>23</v>
      </c>
      <c r="H364" s="1" t="s">
        <v>17</v>
      </c>
      <c r="I364" s="1" t="s">
        <v>56</v>
      </c>
      <c r="J364" s="1" t="s">
        <v>61</v>
      </c>
      <c r="K364" s="1" t="s">
        <v>32</v>
      </c>
      <c r="L364" s="1">
        <v>8</v>
      </c>
      <c r="M364" s="1">
        <v>2536.88</v>
      </c>
      <c r="N364" s="7">
        <v>5</v>
      </c>
      <c r="O364" s="16">
        <f t="shared" si="30"/>
        <v>20295.04</v>
      </c>
      <c r="P364" s="18">
        <f t="shared" si="31"/>
        <v>1014.7520000000001</v>
      </c>
      <c r="Q364" s="18">
        <f t="shared" si="32"/>
        <v>19280.288</v>
      </c>
      <c r="R364" s="14" t="str">
        <f t="shared" si="33"/>
        <v>High Sell</v>
      </c>
      <c r="S364" s="8" t="str">
        <f t="shared" si="34"/>
        <v>High</v>
      </c>
      <c r="T364" s="8" t="str">
        <f t="shared" si="35"/>
        <v>High</v>
      </c>
      <c r="U364" s="8"/>
    </row>
    <row r="365" spans="1:21" ht="14.25" customHeight="1">
      <c r="A365" s="1">
        <v>10490</v>
      </c>
      <c r="B365" s="1">
        <v>1927</v>
      </c>
      <c r="C365" s="2">
        <v>45259</v>
      </c>
      <c r="D365" s="2">
        <v>45261</v>
      </c>
      <c r="E365" s="1" t="s">
        <v>14</v>
      </c>
      <c r="F365" s="1" t="s">
        <v>28</v>
      </c>
      <c r="G365" s="1" t="s">
        <v>16</v>
      </c>
      <c r="H365" s="1" t="s">
        <v>34</v>
      </c>
      <c r="I365" s="1" t="s">
        <v>30</v>
      </c>
      <c r="J365" s="1" t="s">
        <v>31</v>
      </c>
      <c r="K365" s="1" t="s">
        <v>44</v>
      </c>
      <c r="L365" s="1">
        <v>7</v>
      </c>
      <c r="M365" s="1">
        <v>2838.06</v>
      </c>
      <c r="N365" s="7">
        <v>20</v>
      </c>
      <c r="O365" s="16">
        <f t="shared" si="30"/>
        <v>19866.419999999998</v>
      </c>
      <c r="P365" s="18">
        <f t="shared" si="31"/>
        <v>3973.2839999999997</v>
      </c>
      <c r="Q365" s="18">
        <f t="shared" si="32"/>
        <v>15893.135999999999</v>
      </c>
      <c r="R365" s="14" t="str">
        <f t="shared" si="33"/>
        <v>High Sell</v>
      </c>
      <c r="S365" s="8" t="str">
        <f t="shared" si="34"/>
        <v>High</v>
      </c>
      <c r="T365" s="8" t="str">
        <f t="shared" si="35"/>
        <v>High</v>
      </c>
      <c r="U365" s="8"/>
    </row>
    <row r="366" spans="1:21" ht="14.25" customHeight="1">
      <c r="A366" s="1">
        <v>10491</v>
      </c>
      <c r="B366" s="1">
        <v>1982</v>
      </c>
      <c r="C366" s="2">
        <v>45133</v>
      </c>
      <c r="D366" s="2">
        <v>45137</v>
      </c>
      <c r="E366" s="1" t="s">
        <v>15</v>
      </c>
      <c r="F366" s="1" t="s">
        <v>28</v>
      </c>
      <c r="G366" s="1" t="s">
        <v>16</v>
      </c>
      <c r="H366" s="1" t="s">
        <v>43</v>
      </c>
      <c r="I366" s="1" t="s">
        <v>48</v>
      </c>
      <c r="J366" s="1" t="s">
        <v>62</v>
      </c>
      <c r="K366" s="1" t="s">
        <v>27</v>
      </c>
      <c r="L366" s="1">
        <v>5</v>
      </c>
      <c r="M366" s="1">
        <v>977.43</v>
      </c>
      <c r="N366" s="7">
        <v>20</v>
      </c>
      <c r="O366" s="16">
        <f t="shared" si="30"/>
        <v>4887.1499999999996</v>
      </c>
      <c r="P366" s="18">
        <f t="shared" si="31"/>
        <v>977.43</v>
      </c>
      <c r="Q366" s="18">
        <f t="shared" si="32"/>
        <v>3909.72</v>
      </c>
      <c r="R366" s="14" t="str">
        <f t="shared" si="33"/>
        <v>High Sell</v>
      </c>
      <c r="S366" s="8" t="str">
        <f t="shared" si="34"/>
        <v>Medium</v>
      </c>
      <c r="T366" s="8" t="str">
        <f t="shared" si="35"/>
        <v>Medium</v>
      </c>
      <c r="U366" s="8"/>
    </row>
    <row r="367" spans="1:21" ht="14.25" customHeight="1">
      <c r="A367" s="1">
        <v>10493</v>
      </c>
      <c r="B367" s="1">
        <v>1255</v>
      </c>
      <c r="C367" s="2">
        <v>45041</v>
      </c>
      <c r="D367" s="2">
        <v>45043</v>
      </c>
      <c r="E367" s="1" t="s">
        <v>39</v>
      </c>
      <c r="F367" s="1" t="s">
        <v>15</v>
      </c>
      <c r="G367" s="1" t="s">
        <v>23</v>
      </c>
      <c r="H367" s="1" t="s">
        <v>43</v>
      </c>
      <c r="I367" s="1" t="s">
        <v>48</v>
      </c>
      <c r="J367" s="1" t="s">
        <v>66</v>
      </c>
      <c r="K367" s="1" t="s">
        <v>27</v>
      </c>
      <c r="L367" s="1">
        <v>7</v>
      </c>
      <c r="M367" s="1">
        <v>1550.03</v>
      </c>
      <c r="N367" s="7">
        <v>10</v>
      </c>
      <c r="O367" s="16">
        <f t="shared" si="30"/>
        <v>10850.21</v>
      </c>
      <c r="P367" s="18">
        <f t="shared" si="31"/>
        <v>1085.021</v>
      </c>
      <c r="Q367" s="18">
        <f t="shared" si="32"/>
        <v>9765.1889999999985</v>
      </c>
      <c r="R367" s="14" t="str">
        <f t="shared" si="33"/>
        <v>High Sell</v>
      </c>
      <c r="S367" s="8" t="str">
        <f t="shared" si="34"/>
        <v>High</v>
      </c>
      <c r="T367" s="8" t="str">
        <f t="shared" si="35"/>
        <v>High</v>
      </c>
      <c r="U367" s="8"/>
    </row>
    <row r="368" spans="1:21" ht="14.25" customHeight="1">
      <c r="A368" s="1">
        <v>10494</v>
      </c>
      <c r="B368" s="1">
        <v>1322</v>
      </c>
      <c r="C368" s="2">
        <v>45151</v>
      </c>
      <c r="D368" s="2">
        <v>45154</v>
      </c>
      <c r="E368" s="1" t="s">
        <v>36</v>
      </c>
      <c r="F368" s="1" t="s">
        <v>40</v>
      </c>
      <c r="G368" s="1" t="s">
        <v>16</v>
      </c>
      <c r="H368" s="1" t="s">
        <v>43</v>
      </c>
      <c r="I368" s="1" t="s">
        <v>56</v>
      </c>
      <c r="J368" s="1" t="s">
        <v>65</v>
      </c>
      <c r="K368" s="1" t="s">
        <v>44</v>
      </c>
      <c r="L368" s="1">
        <v>5</v>
      </c>
      <c r="M368" s="1">
        <v>529.59</v>
      </c>
      <c r="N368" s="7">
        <v>5</v>
      </c>
      <c r="O368" s="16">
        <f t="shared" si="30"/>
        <v>2647.9500000000003</v>
      </c>
      <c r="P368" s="18">
        <f t="shared" si="31"/>
        <v>132.39750000000001</v>
      </c>
      <c r="Q368" s="18">
        <f t="shared" si="32"/>
        <v>2515.5525000000002</v>
      </c>
      <c r="R368" s="14" t="str">
        <f t="shared" si="33"/>
        <v>High Sell</v>
      </c>
      <c r="S368" s="8" t="str">
        <f t="shared" si="34"/>
        <v>Medium</v>
      </c>
      <c r="T368" s="8" t="str">
        <f t="shared" si="35"/>
        <v>Medium</v>
      </c>
      <c r="U368" s="8"/>
    </row>
    <row r="369" spans="1:21" ht="14.25" customHeight="1">
      <c r="A369" s="1">
        <v>10495</v>
      </c>
      <c r="B369" s="1">
        <v>1127</v>
      </c>
      <c r="C369" s="2">
        <v>45060</v>
      </c>
      <c r="D369" s="2">
        <v>45063</v>
      </c>
      <c r="E369" s="1" t="s">
        <v>14</v>
      </c>
      <c r="F369" s="1" t="s">
        <v>22</v>
      </c>
      <c r="G369" s="1" t="s">
        <v>29</v>
      </c>
      <c r="H369" s="1" t="s">
        <v>24</v>
      </c>
      <c r="I369" s="1" t="s">
        <v>56</v>
      </c>
      <c r="J369" s="1" t="s">
        <v>58</v>
      </c>
      <c r="K369" s="1" t="s">
        <v>44</v>
      </c>
      <c r="L369" s="1">
        <v>8</v>
      </c>
      <c r="M369" s="1">
        <v>598.44000000000005</v>
      </c>
      <c r="N369" s="7">
        <v>0</v>
      </c>
      <c r="O369" s="16">
        <f t="shared" si="30"/>
        <v>4787.5200000000004</v>
      </c>
      <c r="P369" s="18">
        <f t="shared" si="31"/>
        <v>0</v>
      </c>
      <c r="Q369" s="18">
        <f t="shared" si="32"/>
        <v>4787.5200000000004</v>
      </c>
      <c r="R369" s="14" t="str">
        <f t="shared" si="33"/>
        <v>High Sell</v>
      </c>
      <c r="S369" s="8" t="str">
        <f t="shared" si="34"/>
        <v>High</v>
      </c>
      <c r="T369" s="8" t="str">
        <f t="shared" si="35"/>
        <v>High</v>
      </c>
      <c r="U369" s="8"/>
    </row>
    <row r="370" spans="1:21" ht="14.25" customHeight="1">
      <c r="A370" s="1">
        <v>10496</v>
      </c>
      <c r="B370" s="1">
        <v>1017</v>
      </c>
      <c r="C370" s="2">
        <v>45177</v>
      </c>
      <c r="D370" s="2">
        <v>45178</v>
      </c>
      <c r="E370" s="1" t="s">
        <v>14</v>
      </c>
      <c r="F370" s="1" t="s">
        <v>22</v>
      </c>
      <c r="G370" s="1" t="s">
        <v>16</v>
      </c>
      <c r="H370" s="1" t="s">
        <v>41</v>
      </c>
      <c r="I370" s="1" t="s">
        <v>51</v>
      </c>
      <c r="J370" s="1" t="s">
        <v>59</v>
      </c>
      <c r="K370" s="1" t="s">
        <v>44</v>
      </c>
      <c r="L370" s="1">
        <v>6</v>
      </c>
      <c r="M370" s="1">
        <v>1128.9100000000001</v>
      </c>
      <c r="N370" s="7">
        <v>20</v>
      </c>
      <c r="O370" s="16">
        <f t="shared" si="30"/>
        <v>6773.4600000000009</v>
      </c>
      <c r="P370" s="18">
        <f t="shared" si="31"/>
        <v>1354.6920000000002</v>
      </c>
      <c r="Q370" s="18">
        <f t="shared" si="32"/>
        <v>5418.7680000000009</v>
      </c>
      <c r="R370" s="14" t="str">
        <f t="shared" si="33"/>
        <v>High Sell</v>
      </c>
      <c r="S370" s="8" t="str">
        <f t="shared" si="34"/>
        <v>High</v>
      </c>
      <c r="T370" s="8" t="str">
        <f t="shared" si="35"/>
        <v>High</v>
      </c>
      <c r="U370" s="8"/>
    </row>
    <row r="371" spans="1:21" ht="14.25" customHeight="1">
      <c r="A371" s="1">
        <v>10497</v>
      </c>
      <c r="B371" s="1">
        <v>1792</v>
      </c>
      <c r="C371" s="2">
        <v>45145</v>
      </c>
      <c r="D371" s="2">
        <v>45151</v>
      </c>
      <c r="E371" s="1" t="s">
        <v>15</v>
      </c>
      <c r="F371" s="1" t="s">
        <v>28</v>
      </c>
      <c r="G371" s="1" t="s">
        <v>23</v>
      </c>
      <c r="H371" s="1" t="s">
        <v>41</v>
      </c>
      <c r="I371" s="1" t="s">
        <v>30</v>
      </c>
      <c r="J371" s="1" t="s">
        <v>38</v>
      </c>
      <c r="K371" s="1" t="s">
        <v>20</v>
      </c>
      <c r="L371" s="1">
        <v>5</v>
      </c>
      <c r="M371" s="1">
        <v>1287.55</v>
      </c>
      <c r="N371" s="7">
        <v>0</v>
      </c>
      <c r="O371" s="16">
        <f t="shared" si="30"/>
        <v>6437.75</v>
      </c>
      <c r="P371" s="18">
        <f t="shared" si="31"/>
        <v>0</v>
      </c>
      <c r="Q371" s="18">
        <f t="shared" si="32"/>
        <v>6437.75</v>
      </c>
      <c r="R371" s="14" t="str">
        <f t="shared" si="33"/>
        <v>High Sell</v>
      </c>
      <c r="S371" s="8" t="str">
        <f t="shared" si="34"/>
        <v>Medium</v>
      </c>
      <c r="T371" s="8" t="str">
        <f t="shared" si="35"/>
        <v>Medium</v>
      </c>
      <c r="U371" s="8"/>
    </row>
    <row r="372" spans="1:21" ht="14.25" customHeight="1">
      <c r="A372" s="1">
        <v>10498</v>
      </c>
      <c r="B372" s="1">
        <v>1734</v>
      </c>
      <c r="C372" s="2">
        <v>45017</v>
      </c>
      <c r="D372" s="2">
        <v>45025</v>
      </c>
      <c r="E372" s="1" t="s">
        <v>45</v>
      </c>
      <c r="F372" s="1" t="s">
        <v>15</v>
      </c>
      <c r="G372" s="1" t="s">
        <v>29</v>
      </c>
      <c r="H372" s="1" t="s">
        <v>17</v>
      </c>
      <c r="I372" s="1" t="s">
        <v>25</v>
      </c>
      <c r="J372" s="1" t="s">
        <v>35</v>
      </c>
      <c r="K372" s="1" t="s">
        <v>27</v>
      </c>
      <c r="L372" s="1">
        <v>9</v>
      </c>
      <c r="M372" s="1">
        <v>2190.39</v>
      </c>
      <c r="N372" s="7">
        <v>20</v>
      </c>
      <c r="O372" s="16">
        <f t="shared" si="30"/>
        <v>19713.509999999998</v>
      </c>
      <c r="P372" s="18">
        <f t="shared" si="31"/>
        <v>3942.7019999999998</v>
      </c>
      <c r="Q372" s="18">
        <f t="shared" si="32"/>
        <v>15770.807999999999</v>
      </c>
      <c r="R372" s="14" t="str">
        <f t="shared" si="33"/>
        <v>High Sell</v>
      </c>
      <c r="S372" s="8" t="str">
        <f t="shared" si="34"/>
        <v>High</v>
      </c>
      <c r="T372" s="8" t="str">
        <f t="shared" si="35"/>
        <v>High</v>
      </c>
      <c r="U372" s="8"/>
    </row>
    <row r="373" spans="1:21" ht="14.25" customHeight="1">
      <c r="A373" s="1">
        <v>10500</v>
      </c>
      <c r="B373" s="1">
        <v>1569</v>
      </c>
      <c r="C373" s="2">
        <v>44972</v>
      </c>
      <c r="D373" s="2">
        <v>44977</v>
      </c>
      <c r="E373" s="1" t="s">
        <v>14</v>
      </c>
      <c r="F373" s="1" t="s">
        <v>15</v>
      </c>
      <c r="G373" s="1" t="s">
        <v>29</v>
      </c>
      <c r="H373" s="1" t="s">
        <v>41</v>
      </c>
      <c r="I373" s="1" t="s">
        <v>30</v>
      </c>
      <c r="J373" s="1" t="s">
        <v>64</v>
      </c>
      <c r="K373" s="1" t="s">
        <v>32</v>
      </c>
      <c r="L373" s="1">
        <v>1</v>
      </c>
      <c r="M373" s="1">
        <v>2432.17</v>
      </c>
      <c r="N373" s="7">
        <v>20</v>
      </c>
      <c r="O373" s="19">
        <f t="shared" si="30"/>
        <v>2432.17</v>
      </c>
      <c r="P373" s="18">
        <f t="shared" si="31"/>
        <v>486.43400000000003</v>
      </c>
      <c r="Q373" s="18">
        <f t="shared" si="32"/>
        <v>1945.7360000000001</v>
      </c>
      <c r="R373" s="14" t="str">
        <f t="shared" si="33"/>
        <v>Low Sell</v>
      </c>
      <c r="S373" s="8" t="str">
        <f t="shared" si="34"/>
        <v>Low</v>
      </c>
      <c r="T373" s="8" t="str">
        <f t="shared" si="35"/>
        <v>Low</v>
      </c>
      <c r="U373" s="8"/>
    </row>
    <row r="378" spans="1:21" ht="15" customHeight="1">
      <c r="N378" s="10" t="s">
        <v>73</v>
      </c>
      <c r="O378" s="10"/>
      <c r="P378" s="10"/>
      <c r="Q378" s="10" t="s">
        <v>73</v>
      </c>
      <c r="R378" s="5" t="s">
        <v>74</v>
      </c>
    </row>
    <row r="381" spans="1:21" ht="15" customHeight="1">
      <c r="R381" s="10" t="s">
        <v>73</v>
      </c>
      <c r="S381" s="5" t="s">
        <v>76</v>
      </c>
    </row>
    <row r="384" spans="1:21" ht="15" customHeight="1">
      <c r="S384" s="10" t="s">
        <v>73</v>
      </c>
      <c r="T384" t="s">
        <v>78</v>
      </c>
    </row>
  </sheetData>
  <dataValidations count="3">
    <dataValidation type="list" allowBlank="1" showInputMessage="1" showErrorMessage="1" sqref="X13 W19 X22 W32 Z41" xr:uid="{D22FA4E4-CE17-4F0E-AFE5-9A49A0E2BA9C}">
      <formula1>$AC$2:$AC$6</formula1>
    </dataValidation>
    <dataValidation type="list" allowBlank="1" showInputMessage="1" showErrorMessage="1" sqref="Y13" xr:uid="{814551FA-6AA3-4EE3-9E8B-BFC37BEA5D8D}">
      <formula1>$AD$2:$AD$11</formula1>
    </dataValidation>
    <dataValidation type="list" allowBlank="1" showInputMessage="1" showErrorMessage="1" sqref="W22" xr:uid="{E1CB7CB4-755B-403C-8A42-61ADE9A1BC1E}">
      <formula1>$AF$2:$AF$7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33C12-2E79-4B99-A125-B0B3BDFF4174}">
  <dimension ref="A1:AF377"/>
  <sheetViews>
    <sheetView topLeftCell="J1" workbookViewId="0">
      <pane ySplit="1" topLeftCell="A2" activePane="bottomLeft" state="frozen"/>
      <selection pane="bottomLeft" activeCell="P8" sqref="P8"/>
    </sheetView>
  </sheetViews>
  <sheetFormatPr defaultRowHeight="14.4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6" max="16" width="10.21875" bestFit="1" customWidth="1"/>
    <col min="17" max="17" width="11.33203125" bestFit="1" customWidth="1"/>
    <col min="18" max="18" width="10.33203125" bestFit="1" customWidth="1"/>
    <col min="19" max="19" width="14" bestFit="1" customWidth="1"/>
    <col min="20" max="20" width="11.33203125" bestFit="1" customWidth="1"/>
    <col min="21" max="22" width="10.33203125" bestFit="1" customWidth="1"/>
    <col min="23" max="23" width="9.77734375" bestFit="1" customWidth="1"/>
    <col min="24" max="24" width="11.44140625" bestFit="1" customWidth="1"/>
    <col min="25" max="25" width="12.5546875" bestFit="1" customWidth="1"/>
    <col min="26" max="26" width="15.88671875" bestFit="1" customWidth="1"/>
    <col min="27" max="27" width="15.77734375" bestFit="1" customWidth="1"/>
    <col min="28" max="28" width="13.21875" bestFit="1" customWidth="1"/>
    <col min="29" max="29" width="7" bestFit="1" customWidth="1"/>
    <col min="30" max="30" width="9.44140625" bestFit="1" customWidth="1"/>
    <col min="31" max="31" width="9.109375" bestFit="1" customWidth="1"/>
    <col min="32" max="32" width="10.21875" bestFit="1" customWidth="1"/>
  </cols>
  <sheetData>
    <row r="1" spans="1:32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32">
      <c r="A2">
        <v>10001</v>
      </c>
      <c r="B2">
        <v>1102</v>
      </c>
      <c r="C2" s="21">
        <v>45197</v>
      </c>
      <c r="D2" s="21">
        <v>45203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>
        <v>7</v>
      </c>
      <c r="M2">
        <v>2843.87</v>
      </c>
      <c r="N2">
        <v>0</v>
      </c>
    </row>
    <row r="3" spans="1:32">
      <c r="A3">
        <v>10002</v>
      </c>
      <c r="B3">
        <v>1435</v>
      </c>
      <c r="C3" s="21">
        <v>45199</v>
      </c>
      <c r="D3" s="21">
        <v>45203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9</v>
      </c>
      <c r="M3">
        <v>2525.23</v>
      </c>
      <c r="N3">
        <v>5</v>
      </c>
    </row>
    <row r="4" spans="1:32">
      <c r="A4">
        <v>10003</v>
      </c>
      <c r="B4">
        <v>1860</v>
      </c>
      <c r="C4" s="21">
        <v>45109</v>
      </c>
      <c r="D4" s="21">
        <v>45114</v>
      </c>
      <c r="E4" t="s">
        <v>14</v>
      </c>
      <c r="F4" t="s">
        <v>28</v>
      </c>
      <c r="G4" t="s">
        <v>29</v>
      </c>
      <c r="H4" t="s">
        <v>24</v>
      </c>
      <c r="I4" t="s">
        <v>30</v>
      </c>
      <c r="J4" t="s">
        <v>31</v>
      </c>
      <c r="K4" t="s">
        <v>32</v>
      </c>
      <c r="L4">
        <v>6</v>
      </c>
      <c r="M4">
        <v>3474.34</v>
      </c>
      <c r="N4">
        <v>15</v>
      </c>
      <c r="S4" s="4"/>
    </row>
    <row r="5" spans="1:32">
      <c r="A5">
        <v>10004</v>
      </c>
      <c r="B5">
        <v>1270</v>
      </c>
      <c r="C5" s="21">
        <v>45079</v>
      </c>
      <c r="D5" s="21">
        <v>45087</v>
      </c>
      <c r="E5" t="s">
        <v>33</v>
      </c>
      <c r="F5" t="s">
        <v>28</v>
      </c>
      <c r="G5" t="s">
        <v>23</v>
      </c>
      <c r="H5" t="s">
        <v>34</v>
      </c>
      <c r="I5" t="s">
        <v>25</v>
      </c>
      <c r="J5" t="s">
        <v>35</v>
      </c>
      <c r="K5" t="s">
        <v>20</v>
      </c>
      <c r="L5">
        <v>1</v>
      </c>
      <c r="M5">
        <v>1008.79</v>
      </c>
      <c r="N5">
        <v>15</v>
      </c>
      <c r="P5" s="12" t="s">
        <v>126</v>
      </c>
      <c r="S5" s="4" t="s">
        <v>0</v>
      </c>
      <c r="T5" s="4" t="s">
        <v>1</v>
      </c>
      <c r="U5" s="4" t="s">
        <v>2</v>
      </c>
      <c r="V5" s="4" t="s">
        <v>3</v>
      </c>
      <c r="W5" s="4" t="s">
        <v>4</v>
      </c>
      <c r="X5" s="4" t="s">
        <v>5</v>
      </c>
      <c r="Y5" s="4" t="s">
        <v>6</v>
      </c>
      <c r="Z5" s="4" t="s">
        <v>7</v>
      </c>
      <c r="AA5" s="4" t="s">
        <v>8</v>
      </c>
      <c r="AB5" s="4" t="s">
        <v>9</v>
      </c>
      <c r="AC5" s="4" t="s">
        <v>10</v>
      </c>
      <c r="AD5" s="4" t="s">
        <v>11</v>
      </c>
      <c r="AE5" s="4" t="s">
        <v>12</v>
      </c>
      <c r="AF5" s="4" t="s">
        <v>13</v>
      </c>
    </row>
    <row r="6" spans="1:32">
      <c r="A6">
        <v>10005</v>
      </c>
      <c r="B6">
        <v>1106</v>
      </c>
      <c r="C6" s="21">
        <v>45241</v>
      </c>
      <c r="D6" s="21">
        <v>45244</v>
      </c>
      <c r="E6" t="s">
        <v>36</v>
      </c>
      <c r="F6" t="s">
        <v>37</v>
      </c>
      <c r="G6" t="s">
        <v>29</v>
      </c>
      <c r="H6" t="s">
        <v>17</v>
      </c>
      <c r="I6" t="s">
        <v>30</v>
      </c>
      <c r="J6" t="s">
        <v>38</v>
      </c>
      <c r="K6" t="s">
        <v>20</v>
      </c>
      <c r="L6">
        <v>7</v>
      </c>
      <c r="M6">
        <v>3511.47</v>
      </c>
      <c r="N6">
        <v>20</v>
      </c>
      <c r="S6">
        <v>10001</v>
      </c>
      <c r="T6">
        <v>1102</v>
      </c>
      <c r="U6" s="21">
        <v>45197</v>
      </c>
      <c r="V6" s="21">
        <v>45203</v>
      </c>
      <c r="W6" t="s">
        <v>14</v>
      </c>
      <c r="X6" t="s">
        <v>15</v>
      </c>
      <c r="Y6" t="s">
        <v>16</v>
      </c>
      <c r="Z6" t="s">
        <v>17</v>
      </c>
      <c r="AA6" t="s">
        <v>18</v>
      </c>
      <c r="AB6" t="s">
        <v>19</v>
      </c>
      <c r="AC6" t="s">
        <v>20</v>
      </c>
      <c r="AD6">
        <v>7</v>
      </c>
      <c r="AE6">
        <v>2843.87</v>
      </c>
      <c r="AF6">
        <v>0</v>
      </c>
    </row>
    <row r="7" spans="1:32">
      <c r="A7">
        <v>10006</v>
      </c>
      <c r="B7">
        <v>1071</v>
      </c>
      <c r="C7" s="21">
        <v>45260</v>
      </c>
      <c r="D7" s="21">
        <v>45263</v>
      </c>
      <c r="E7" t="s">
        <v>39</v>
      </c>
      <c r="F7" t="s">
        <v>40</v>
      </c>
      <c r="G7" t="s">
        <v>23</v>
      </c>
      <c r="H7" t="s">
        <v>41</v>
      </c>
      <c r="I7" t="s">
        <v>18</v>
      </c>
      <c r="J7" t="s">
        <v>42</v>
      </c>
      <c r="K7" t="s">
        <v>32</v>
      </c>
      <c r="L7">
        <v>3</v>
      </c>
      <c r="M7">
        <v>3189.55</v>
      </c>
      <c r="N7">
        <v>10</v>
      </c>
      <c r="P7" s="12" t="s">
        <v>4</v>
      </c>
      <c r="S7">
        <v>10003</v>
      </c>
      <c r="T7">
        <v>1860</v>
      </c>
      <c r="U7" s="21">
        <v>45109</v>
      </c>
      <c r="V7" s="21">
        <v>45114</v>
      </c>
      <c r="W7" t="s">
        <v>14</v>
      </c>
      <c r="X7" t="s">
        <v>28</v>
      </c>
      <c r="Y7" t="s">
        <v>29</v>
      </c>
      <c r="Z7" t="s">
        <v>24</v>
      </c>
      <c r="AA7" t="s">
        <v>30</v>
      </c>
      <c r="AB7" t="s">
        <v>31</v>
      </c>
      <c r="AC7" t="s">
        <v>32</v>
      </c>
      <c r="AD7">
        <v>6</v>
      </c>
      <c r="AE7">
        <v>3474.34</v>
      </c>
      <c r="AF7">
        <v>15</v>
      </c>
    </row>
    <row r="8" spans="1:32">
      <c r="A8">
        <v>10007</v>
      </c>
      <c r="B8">
        <v>1700</v>
      </c>
      <c r="C8" s="21">
        <v>45050</v>
      </c>
      <c r="D8" s="21">
        <v>45054</v>
      </c>
      <c r="E8" t="s">
        <v>33</v>
      </c>
      <c r="F8" t="s">
        <v>40</v>
      </c>
      <c r="G8" t="s">
        <v>16</v>
      </c>
      <c r="H8" t="s">
        <v>43</v>
      </c>
      <c r="I8" t="s">
        <v>30</v>
      </c>
      <c r="J8" t="s">
        <v>31</v>
      </c>
      <c r="K8" t="s">
        <v>44</v>
      </c>
      <c r="L8">
        <v>5</v>
      </c>
      <c r="M8">
        <v>3030.42</v>
      </c>
      <c r="N8">
        <v>10</v>
      </c>
      <c r="P8" s="11" t="s">
        <v>14</v>
      </c>
      <c r="S8">
        <v>10009</v>
      </c>
      <c r="T8">
        <v>1614</v>
      </c>
      <c r="U8" s="21">
        <v>45204</v>
      </c>
      <c r="V8" s="21">
        <v>45213</v>
      </c>
      <c r="W8" t="s">
        <v>14</v>
      </c>
      <c r="X8" t="s">
        <v>28</v>
      </c>
      <c r="Y8" t="s">
        <v>23</v>
      </c>
      <c r="Z8" t="s">
        <v>24</v>
      </c>
      <c r="AA8" t="s">
        <v>30</v>
      </c>
      <c r="AB8" t="s">
        <v>47</v>
      </c>
      <c r="AC8" t="s">
        <v>27</v>
      </c>
      <c r="AD8">
        <v>5</v>
      </c>
      <c r="AE8">
        <v>1098.04</v>
      </c>
      <c r="AF8">
        <v>15</v>
      </c>
    </row>
    <row r="9" spans="1:32">
      <c r="A9">
        <v>10008</v>
      </c>
      <c r="B9">
        <v>1020</v>
      </c>
      <c r="C9" s="21">
        <v>45040</v>
      </c>
      <c r="D9" s="21">
        <v>45041</v>
      </c>
      <c r="E9" t="s">
        <v>45</v>
      </c>
      <c r="F9" t="s">
        <v>15</v>
      </c>
      <c r="G9" t="s">
        <v>23</v>
      </c>
      <c r="H9" t="s">
        <v>17</v>
      </c>
      <c r="I9" t="s">
        <v>30</v>
      </c>
      <c r="J9" t="s">
        <v>31</v>
      </c>
      <c r="K9" t="s">
        <v>46</v>
      </c>
      <c r="L9">
        <v>4</v>
      </c>
      <c r="M9">
        <v>2310.83</v>
      </c>
      <c r="N9">
        <v>10</v>
      </c>
      <c r="S9">
        <v>10018</v>
      </c>
      <c r="T9">
        <v>1871</v>
      </c>
      <c r="U9" s="21">
        <v>45045</v>
      </c>
      <c r="V9" s="21">
        <v>45048</v>
      </c>
      <c r="W9" t="s">
        <v>14</v>
      </c>
      <c r="X9" t="s">
        <v>28</v>
      </c>
      <c r="Y9" t="s">
        <v>23</v>
      </c>
      <c r="Z9" t="s">
        <v>17</v>
      </c>
      <c r="AA9" t="s">
        <v>18</v>
      </c>
      <c r="AB9" t="s">
        <v>54</v>
      </c>
      <c r="AC9" t="s">
        <v>27</v>
      </c>
      <c r="AD9">
        <v>1</v>
      </c>
      <c r="AE9">
        <v>2165.81</v>
      </c>
      <c r="AF9">
        <v>15</v>
      </c>
    </row>
    <row r="10" spans="1:32">
      <c r="A10">
        <v>10009</v>
      </c>
      <c r="B10">
        <v>1614</v>
      </c>
      <c r="C10" s="21">
        <v>45204</v>
      </c>
      <c r="D10" s="21">
        <v>45213</v>
      </c>
      <c r="E10" t="s">
        <v>14</v>
      </c>
      <c r="F10" t="s">
        <v>28</v>
      </c>
      <c r="G10" t="s">
        <v>23</v>
      </c>
      <c r="H10" t="s">
        <v>24</v>
      </c>
      <c r="I10" t="s">
        <v>30</v>
      </c>
      <c r="J10" t="s">
        <v>47</v>
      </c>
      <c r="K10" t="s">
        <v>27</v>
      </c>
      <c r="L10">
        <v>5</v>
      </c>
      <c r="M10">
        <v>1098.04</v>
      </c>
      <c r="N10">
        <v>15</v>
      </c>
      <c r="P10" s="5" t="s">
        <v>127</v>
      </c>
      <c r="S10">
        <v>10031</v>
      </c>
      <c r="T10">
        <v>1276</v>
      </c>
      <c r="U10" s="21">
        <v>45162</v>
      </c>
      <c r="V10" s="21">
        <v>45166</v>
      </c>
      <c r="W10" t="s">
        <v>14</v>
      </c>
      <c r="X10" t="s">
        <v>28</v>
      </c>
      <c r="Y10" t="s">
        <v>29</v>
      </c>
      <c r="Z10" t="s">
        <v>41</v>
      </c>
      <c r="AA10" t="s">
        <v>56</v>
      </c>
      <c r="AB10" t="s">
        <v>61</v>
      </c>
      <c r="AC10" t="s">
        <v>46</v>
      </c>
      <c r="AD10">
        <v>5</v>
      </c>
      <c r="AE10">
        <v>2295.65</v>
      </c>
      <c r="AF10">
        <v>20</v>
      </c>
    </row>
    <row r="11" spans="1:32">
      <c r="A11">
        <v>10010</v>
      </c>
      <c r="B11">
        <v>1121</v>
      </c>
      <c r="C11" s="21">
        <v>45139</v>
      </c>
      <c r="D11" s="21">
        <v>45147</v>
      </c>
      <c r="E11" t="s">
        <v>33</v>
      </c>
      <c r="F11" t="s">
        <v>37</v>
      </c>
      <c r="G11" t="s">
        <v>23</v>
      </c>
      <c r="H11" t="s">
        <v>34</v>
      </c>
      <c r="I11" t="s">
        <v>48</v>
      </c>
      <c r="J11" t="s">
        <v>49</v>
      </c>
      <c r="K11" t="s">
        <v>46</v>
      </c>
      <c r="L11">
        <v>5</v>
      </c>
      <c r="M11">
        <v>1780.66</v>
      </c>
      <c r="N11">
        <v>20</v>
      </c>
      <c r="P11" s="22"/>
      <c r="S11">
        <v>10032</v>
      </c>
      <c r="T11">
        <v>1160</v>
      </c>
      <c r="U11" s="21">
        <v>45150</v>
      </c>
      <c r="V11" s="21">
        <v>45158</v>
      </c>
      <c r="W11" t="s">
        <v>14</v>
      </c>
      <c r="X11" t="s">
        <v>40</v>
      </c>
      <c r="Y11" t="s">
        <v>29</v>
      </c>
      <c r="Z11" t="s">
        <v>17</v>
      </c>
      <c r="AA11" t="s">
        <v>18</v>
      </c>
      <c r="AB11" t="s">
        <v>42</v>
      </c>
      <c r="AC11" t="s">
        <v>20</v>
      </c>
      <c r="AD11">
        <v>4</v>
      </c>
      <c r="AE11">
        <v>750.74</v>
      </c>
      <c r="AF11">
        <v>5</v>
      </c>
    </row>
    <row r="12" spans="1:32">
      <c r="A12">
        <v>10011</v>
      </c>
      <c r="B12">
        <v>1466</v>
      </c>
      <c r="C12" s="21">
        <v>45098</v>
      </c>
      <c r="D12" s="21">
        <v>45106</v>
      </c>
      <c r="E12" t="s">
        <v>33</v>
      </c>
      <c r="F12" t="s">
        <v>37</v>
      </c>
      <c r="G12" t="s">
        <v>16</v>
      </c>
      <c r="H12" t="s">
        <v>34</v>
      </c>
      <c r="I12" t="s">
        <v>48</v>
      </c>
      <c r="J12" t="s">
        <v>49</v>
      </c>
      <c r="K12" t="s">
        <v>32</v>
      </c>
      <c r="L12">
        <v>6</v>
      </c>
      <c r="M12">
        <v>3205.25</v>
      </c>
      <c r="N12">
        <v>0</v>
      </c>
      <c r="P12" s="4"/>
      <c r="Q12" s="4"/>
      <c r="R12" s="4"/>
      <c r="S12">
        <v>10040</v>
      </c>
      <c r="T12">
        <v>1474</v>
      </c>
      <c r="U12" s="21">
        <v>45274</v>
      </c>
      <c r="V12" s="21">
        <v>45277</v>
      </c>
      <c r="W12" t="s">
        <v>14</v>
      </c>
      <c r="X12" t="s">
        <v>15</v>
      </c>
      <c r="Y12" t="s">
        <v>29</v>
      </c>
      <c r="Z12" t="s">
        <v>34</v>
      </c>
      <c r="AA12" t="s">
        <v>25</v>
      </c>
      <c r="AB12" t="s">
        <v>26</v>
      </c>
      <c r="AC12" t="s">
        <v>27</v>
      </c>
      <c r="AD12">
        <v>6</v>
      </c>
      <c r="AE12">
        <v>3083.25</v>
      </c>
      <c r="AF12">
        <v>10</v>
      </c>
    </row>
    <row r="13" spans="1:32">
      <c r="A13">
        <v>10012</v>
      </c>
      <c r="B13">
        <v>1214</v>
      </c>
      <c r="C13" s="21">
        <v>45214</v>
      </c>
      <c r="D13" s="21">
        <v>45220</v>
      </c>
      <c r="E13" t="s">
        <v>45</v>
      </c>
      <c r="F13" t="s">
        <v>22</v>
      </c>
      <c r="G13" t="s">
        <v>23</v>
      </c>
      <c r="H13" t="s">
        <v>43</v>
      </c>
      <c r="I13" t="s">
        <v>48</v>
      </c>
      <c r="J13" t="s">
        <v>50</v>
      </c>
      <c r="K13" t="s">
        <v>20</v>
      </c>
      <c r="L13">
        <v>6</v>
      </c>
      <c r="M13">
        <v>272.35000000000002</v>
      </c>
      <c r="N13">
        <v>5</v>
      </c>
      <c r="R13" s="21"/>
      <c r="S13">
        <v>10042</v>
      </c>
      <c r="T13">
        <v>1510</v>
      </c>
      <c r="U13" s="21">
        <v>45195</v>
      </c>
      <c r="V13" s="21">
        <v>45204</v>
      </c>
      <c r="W13" t="s">
        <v>14</v>
      </c>
      <c r="X13" t="s">
        <v>53</v>
      </c>
      <c r="Y13" t="s">
        <v>23</v>
      </c>
      <c r="Z13" t="s">
        <v>34</v>
      </c>
      <c r="AA13" t="s">
        <v>25</v>
      </c>
      <c r="AB13" t="s">
        <v>26</v>
      </c>
      <c r="AC13" t="s">
        <v>32</v>
      </c>
      <c r="AD13">
        <v>4</v>
      </c>
      <c r="AE13">
        <v>1211.67</v>
      </c>
      <c r="AF13">
        <v>20</v>
      </c>
    </row>
    <row r="14" spans="1:32">
      <c r="A14">
        <v>10013</v>
      </c>
      <c r="B14">
        <v>1330</v>
      </c>
      <c r="C14" s="21">
        <v>45100</v>
      </c>
      <c r="D14" s="21">
        <v>45107</v>
      </c>
      <c r="E14" t="s">
        <v>15</v>
      </c>
      <c r="F14" t="s">
        <v>22</v>
      </c>
      <c r="G14" t="s">
        <v>16</v>
      </c>
      <c r="H14" t="s">
        <v>34</v>
      </c>
      <c r="I14" t="s">
        <v>18</v>
      </c>
      <c r="J14" t="s">
        <v>42</v>
      </c>
      <c r="K14" t="s">
        <v>20</v>
      </c>
      <c r="L14">
        <v>8</v>
      </c>
      <c r="M14">
        <v>3160.9</v>
      </c>
      <c r="N14">
        <v>0</v>
      </c>
      <c r="R14" s="21"/>
      <c r="S14">
        <v>10065</v>
      </c>
      <c r="T14">
        <v>1273</v>
      </c>
      <c r="U14" s="21">
        <v>45054</v>
      </c>
      <c r="V14" s="21">
        <v>45058</v>
      </c>
      <c r="W14" t="s">
        <v>14</v>
      </c>
      <c r="X14" t="s">
        <v>37</v>
      </c>
      <c r="Y14" t="s">
        <v>16</v>
      </c>
      <c r="Z14" t="s">
        <v>41</v>
      </c>
      <c r="AA14" t="s">
        <v>18</v>
      </c>
      <c r="AB14" t="s">
        <v>42</v>
      </c>
      <c r="AC14" t="s">
        <v>44</v>
      </c>
      <c r="AD14">
        <v>2</v>
      </c>
      <c r="AE14">
        <v>2773.21</v>
      </c>
      <c r="AF14">
        <v>10</v>
      </c>
    </row>
    <row r="15" spans="1:32">
      <c r="A15">
        <v>10014</v>
      </c>
      <c r="B15">
        <v>1458</v>
      </c>
      <c r="C15" s="21">
        <v>45039</v>
      </c>
      <c r="D15" s="21">
        <v>45045</v>
      </c>
      <c r="E15" t="s">
        <v>36</v>
      </c>
      <c r="F15" t="s">
        <v>37</v>
      </c>
      <c r="G15" t="s">
        <v>29</v>
      </c>
      <c r="H15" t="s">
        <v>34</v>
      </c>
      <c r="I15" t="s">
        <v>25</v>
      </c>
      <c r="J15" t="s">
        <v>35</v>
      </c>
      <c r="K15" t="s">
        <v>27</v>
      </c>
      <c r="L15">
        <v>8</v>
      </c>
      <c r="M15">
        <v>1074.27</v>
      </c>
      <c r="N15">
        <v>15</v>
      </c>
      <c r="R15" s="21"/>
      <c r="S15">
        <v>10066</v>
      </c>
      <c r="T15">
        <v>1387</v>
      </c>
      <c r="U15" s="21">
        <v>45155</v>
      </c>
      <c r="V15" s="21">
        <v>45158</v>
      </c>
      <c r="W15" t="s">
        <v>14</v>
      </c>
      <c r="X15" t="s">
        <v>22</v>
      </c>
      <c r="Y15" t="s">
        <v>16</v>
      </c>
      <c r="Z15" t="s">
        <v>34</v>
      </c>
      <c r="AA15" t="s">
        <v>56</v>
      </c>
      <c r="AB15" t="s">
        <v>65</v>
      </c>
      <c r="AC15" t="s">
        <v>44</v>
      </c>
      <c r="AD15">
        <v>8</v>
      </c>
      <c r="AE15">
        <v>3769.71</v>
      </c>
      <c r="AF15">
        <v>5</v>
      </c>
    </row>
    <row r="16" spans="1:32">
      <c r="A16">
        <v>10015</v>
      </c>
      <c r="B16">
        <v>1087</v>
      </c>
      <c r="C16" s="21">
        <v>45048</v>
      </c>
      <c r="D16" s="21">
        <v>45057</v>
      </c>
      <c r="E16" t="s">
        <v>39</v>
      </c>
      <c r="F16" t="s">
        <v>22</v>
      </c>
      <c r="G16" t="s">
        <v>23</v>
      </c>
      <c r="H16" t="s">
        <v>17</v>
      </c>
      <c r="I16" t="s">
        <v>51</v>
      </c>
      <c r="J16" t="s">
        <v>52</v>
      </c>
      <c r="K16" t="s">
        <v>20</v>
      </c>
      <c r="L16">
        <v>9</v>
      </c>
      <c r="M16">
        <v>705.59</v>
      </c>
      <c r="N16">
        <v>10</v>
      </c>
      <c r="R16" s="21"/>
      <c r="S16">
        <v>10069</v>
      </c>
      <c r="T16">
        <v>1013</v>
      </c>
      <c r="U16" s="21">
        <v>45288</v>
      </c>
      <c r="V16" s="21">
        <v>45296</v>
      </c>
      <c r="W16" t="s">
        <v>14</v>
      </c>
      <c r="X16" t="s">
        <v>22</v>
      </c>
      <c r="Y16" t="s">
        <v>16</v>
      </c>
      <c r="Z16" t="s">
        <v>43</v>
      </c>
      <c r="AA16" t="s">
        <v>56</v>
      </c>
      <c r="AB16" t="s">
        <v>61</v>
      </c>
      <c r="AC16" t="s">
        <v>32</v>
      </c>
      <c r="AD16">
        <v>6</v>
      </c>
      <c r="AE16">
        <v>1836.98</v>
      </c>
      <c r="AF16">
        <v>5</v>
      </c>
    </row>
    <row r="17" spans="1:32">
      <c r="A17">
        <v>10016</v>
      </c>
      <c r="B17">
        <v>1372</v>
      </c>
      <c r="C17" s="21">
        <v>44958</v>
      </c>
      <c r="D17" s="21">
        <v>44961</v>
      </c>
      <c r="E17" t="s">
        <v>21</v>
      </c>
      <c r="F17" t="s">
        <v>28</v>
      </c>
      <c r="G17" t="s">
        <v>16</v>
      </c>
      <c r="H17" t="s">
        <v>41</v>
      </c>
      <c r="I17" t="s">
        <v>30</v>
      </c>
      <c r="J17" t="s">
        <v>38</v>
      </c>
      <c r="K17" t="s">
        <v>20</v>
      </c>
      <c r="L17">
        <v>8</v>
      </c>
      <c r="M17">
        <v>595.45000000000005</v>
      </c>
      <c r="N17">
        <v>5</v>
      </c>
      <c r="R17" s="21"/>
      <c r="S17">
        <v>10071</v>
      </c>
      <c r="T17">
        <v>1776</v>
      </c>
      <c r="U17" s="21">
        <v>45070</v>
      </c>
      <c r="V17" s="21">
        <v>45078</v>
      </c>
      <c r="W17" t="s">
        <v>14</v>
      </c>
      <c r="X17" t="s">
        <v>28</v>
      </c>
      <c r="Y17" t="s">
        <v>16</v>
      </c>
      <c r="Z17" t="s">
        <v>17</v>
      </c>
      <c r="AA17" t="s">
        <v>25</v>
      </c>
      <c r="AB17" t="s">
        <v>60</v>
      </c>
      <c r="AC17" t="s">
        <v>46</v>
      </c>
      <c r="AD17">
        <v>3</v>
      </c>
      <c r="AE17">
        <v>3854.71</v>
      </c>
      <c r="AF17">
        <v>5</v>
      </c>
    </row>
    <row r="18" spans="1:32">
      <c r="A18">
        <v>10017</v>
      </c>
      <c r="B18">
        <v>1099</v>
      </c>
      <c r="C18" s="21">
        <v>45148</v>
      </c>
      <c r="D18" s="21">
        <v>45151</v>
      </c>
      <c r="E18" t="s">
        <v>15</v>
      </c>
      <c r="F18" t="s">
        <v>53</v>
      </c>
      <c r="G18" t="s">
        <v>16</v>
      </c>
      <c r="H18" t="s">
        <v>43</v>
      </c>
      <c r="I18" t="s">
        <v>30</v>
      </c>
      <c r="J18" t="s">
        <v>38</v>
      </c>
      <c r="K18" t="s">
        <v>27</v>
      </c>
      <c r="L18">
        <v>2</v>
      </c>
      <c r="M18">
        <v>254.91</v>
      </c>
      <c r="N18">
        <v>15</v>
      </c>
      <c r="R18" s="21"/>
      <c r="S18">
        <v>10080</v>
      </c>
      <c r="T18">
        <v>1427</v>
      </c>
      <c r="U18" s="21">
        <v>45288</v>
      </c>
      <c r="V18" s="21">
        <v>45293</v>
      </c>
      <c r="W18" t="s">
        <v>14</v>
      </c>
      <c r="X18" t="s">
        <v>53</v>
      </c>
      <c r="Y18" t="s">
        <v>16</v>
      </c>
      <c r="Z18" t="s">
        <v>24</v>
      </c>
      <c r="AA18" t="s">
        <v>51</v>
      </c>
      <c r="AB18" t="s">
        <v>55</v>
      </c>
      <c r="AC18" t="s">
        <v>27</v>
      </c>
      <c r="AD18">
        <v>3</v>
      </c>
      <c r="AE18">
        <v>262.25</v>
      </c>
      <c r="AF18">
        <v>10</v>
      </c>
    </row>
    <row r="19" spans="1:32">
      <c r="A19">
        <v>10018</v>
      </c>
      <c r="B19">
        <v>1871</v>
      </c>
      <c r="C19" s="21">
        <v>45045</v>
      </c>
      <c r="D19" s="21">
        <v>45048</v>
      </c>
      <c r="E19" t="s">
        <v>14</v>
      </c>
      <c r="F19" t="s">
        <v>28</v>
      </c>
      <c r="G19" t="s">
        <v>23</v>
      </c>
      <c r="H19" t="s">
        <v>17</v>
      </c>
      <c r="I19" t="s">
        <v>18</v>
      </c>
      <c r="J19" t="s">
        <v>54</v>
      </c>
      <c r="K19" t="s">
        <v>27</v>
      </c>
      <c r="L19">
        <v>1</v>
      </c>
      <c r="M19">
        <v>2165.81</v>
      </c>
      <c r="N19">
        <v>15</v>
      </c>
      <c r="R19" s="21"/>
      <c r="S19">
        <v>10108</v>
      </c>
      <c r="T19">
        <v>1815</v>
      </c>
      <c r="U19" s="21">
        <v>45037</v>
      </c>
      <c r="V19" s="21">
        <v>45045</v>
      </c>
      <c r="W19" t="s">
        <v>14</v>
      </c>
      <c r="X19" t="s">
        <v>28</v>
      </c>
      <c r="Y19" t="s">
        <v>23</v>
      </c>
      <c r="Z19" t="s">
        <v>17</v>
      </c>
      <c r="AA19" t="s">
        <v>25</v>
      </c>
      <c r="AB19" t="s">
        <v>35</v>
      </c>
      <c r="AC19" t="s">
        <v>20</v>
      </c>
      <c r="AD19">
        <v>2</v>
      </c>
      <c r="AE19">
        <v>564.30999999999995</v>
      </c>
      <c r="AF19">
        <v>15</v>
      </c>
    </row>
    <row r="20" spans="1:32">
      <c r="A20">
        <v>10019</v>
      </c>
      <c r="B20">
        <v>1663</v>
      </c>
      <c r="C20" s="21">
        <v>44965</v>
      </c>
      <c r="D20" s="21">
        <v>44968</v>
      </c>
      <c r="E20" t="s">
        <v>33</v>
      </c>
      <c r="F20" t="s">
        <v>37</v>
      </c>
      <c r="G20" t="s">
        <v>29</v>
      </c>
      <c r="H20" t="s">
        <v>41</v>
      </c>
      <c r="I20" t="s">
        <v>30</v>
      </c>
      <c r="J20" t="s">
        <v>38</v>
      </c>
      <c r="K20" t="s">
        <v>32</v>
      </c>
      <c r="L20">
        <v>2</v>
      </c>
      <c r="M20">
        <v>990.3</v>
      </c>
      <c r="N20">
        <v>15</v>
      </c>
      <c r="R20" s="21"/>
      <c r="S20">
        <v>10111</v>
      </c>
      <c r="T20">
        <v>1461</v>
      </c>
      <c r="U20" s="21">
        <v>44950</v>
      </c>
      <c r="V20" s="21">
        <v>44959</v>
      </c>
      <c r="W20" t="s">
        <v>14</v>
      </c>
      <c r="X20" t="s">
        <v>53</v>
      </c>
      <c r="Y20" t="s">
        <v>29</v>
      </c>
      <c r="Z20" t="s">
        <v>34</v>
      </c>
      <c r="AA20" t="s">
        <v>48</v>
      </c>
      <c r="AB20" t="s">
        <v>66</v>
      </c>
      <c r="AC20" t="s">
        <v>32</v>
      </c>
      <c r="AD20">
        <v>1</v>
      </c>
      <c r="AE20">
        <v>1820.02</v>
      </c>
      <c r="AF20">
        <v>10</v>
      </c>
    </row>
    <row r="21" spans="1:32">
      <c r="A21">
        <v>10020</v>
      </c>
      <c r="B21">
        <v>1130</v>
      </c>
      <c r="C21" s="21">
        <v>45194</v>
      </c>
      <c r="D21" s="21">
        <v>45203</v>
      </c>
      <c r="E21" t="s">
        <v>45</v>
      </c>
      <c r="F21" t="s">
        <v>37</v>
      </c>
      <c r="G21" t="s">
        <v>16</v>
      </c>
      <c r="H21" t="s">
        <v>17</v>
      </c>
      <c r="I21" t="s">
        <v>48</v>
      </c>
      <c r="J21" t="s">
        <v>50</v>
      </c>
      <c r="K21" t="s">
        <v>20</v>
      </c>
      <c r="L21">
        <v>2</v>
      </c>
      <c r="M21">
        <v>3959.31</v>
      </c>
      <c r="N21">
        <v>5</v>
      </c>
      <c r="R21" s="21"/>
      <c r="S21">
        <v>10130</v>
      </c>
      <c r="T21">
        <v>1156</v>
      </c>
      <c r="U21" s="21">
        <v>44929</v>
      </c>
      <c r="V21" s="21">
        <v>44938</v>
      </c>
      <c r="W21" t="s">
        <v>14</v>
      </c>
      <c r="X21" t="s">
        <v>40</v>
      </c>
      <c r="Y21" t="s">
        <v>16</v>
      </c>
      <c r="Z21" t="s">
        <v>41</v>
      </c>
      <c r="AA21" t="s">
        <v>56</v>
      </c>
      <c r="AB21" t="s">
        <v>61</v>
      </c>
      <c r="AC21" t="s">
        <v>32</v>
      </c>
      <c r="AD21">
        <v>1</v>
      </c>
      <c r="AE21">
        <v>2534.4699999999998</v>
      </c>
      <c r="AF21">
        <v>5</v>
      </c>
    </row>
    <row r="22" spans="1:32">
      <c r="A22">
        <v>10021</v>
      </c>
      <c r="B22">
        <v>1661</v>
      </c>
      <c r="C22" s="21">
        <v>45159</v>
      </c>
      <c r="D22" s="21">
        <v>45163</v>
      </c>
      <c r="E22" t="s">
        <v>45</v>
      </c>
      <c r="F22" t="s">
        <v>28</v>
      </c>
      <c r="G22" t="s">
        <v>23</v>
      </c>
      <c r="H22" t="s">
        <v>17</v>
      </c>
      <c r="I22" t="s">
        <v>51</v>
      </c>
      <c r="J22" t="s">
        <v>55</v>
      </c>
      <c r="K22" t="s">
        <v>20</v>
      </c>
      <c r="L22">
        <v>3</v>
      </c>
      <c r="M22">
        <v>2361.58</v>
      </c>
      <c r="N22">
        <v>5</v>
      </c>
      <c r="R22" s="21"/>
      <c r="S22">
        <v>10171</v>
      </c>
      <c r="T22">
        <v>1986</v>
      </c>
      <c r="U22" s="21">
        <v>45227</v>
      </c>
      <c r="V22" s="21">
        <v>45228</v>
      </c>
      <c r="W22" t="s">
        <v>14</v>
      </c>
      <c r="X22" t="s">
        <v>40</v>
      </c>
      <c r="Y22" t="s">
        <v>23</v>
      </c>
      <c r="Z22" t="s">
        <v>17</v>
      </c>
      <c r="AA22" t="s">
        <v>18</v>
      </c>
      <c r="AB22" t="s">
        <v>42</v>
      </c>
      <c r="AC22" t="s">
        <v>20</v>
      </c>
      <c r="AD22">
        <v>8</v>
      </c>
      <c r="AE22">
        <v>3795.01</v>
      </c>
      <c r="AF22">
        <v>5</v>
      </c>
    </row>
    <row r="23" spans="1:32">
      <c r="A23">
        <v>10022</v>
      </c>
      <c r="B23">
        <v>1308</v>
      </c>
      <c r="C23" s="21">
        <v>44944</v>
      </c>
      <c r="D23" s="21">
        <v>44951</v>
      </c>
      <c r="E23" t="s">
        <v>36</v>
      </c>
      <c r="F23" t="s">
        <v>22</v>
      </c>
      <c r="G23" t="s">
        <v>29</v>
      </c>
      <c r="H23" t="s">
        <v>34</v>
      </c>
      <c r="I23" t="s">
        <v>56</v>
      </c>
      <c r="J23" t="s">
        <v>57</v>
      </c>
      <c r="K23" t="s">
        <v>32</v>
      </c>
      <c r="L23">
        <v>7</v>
      </c>
      <c r="M23">
        <v>680.86</v>
      </c>
      <c r="N23">
        <v>20</v>
      </c>
      <c r="R23" s="21"/>
      <c r="S23">
        <v>10173</v>
      </c>
      <c r="T23">
        <v>1960</v>
      </c>
      <c r="U23" s="21">
        <v>45124</v>
      </c>
      <c r="V23" s="21">
        <v>45127</v>
      </c>
      <c r="W23" t="s">
        <v>14</v>
      </c>
      <c r="X23" t="s">
        <v>37</v>
      </c>
      <c r="Y23" t="s">
        <v>23</v>
      </c>
      <c r="Z23" t="s">
        <v>41</v>
      </c>
      <c r="AA23" t="s">
        <v>30</v>
      </c>
      <c r="AB23" t="s">
        <v>64</v>
      </c>
      <c r="AC23" t="s">
        <v>27</v>
      </c>
      <c r="AD23">
        <v>3</v>
      </c>
      <c r="AE23">
        <v>1357.77</v>
      </c>
      <c r="AF23">
        <v>5</v>
      </c>
    </row>
    <row r="24" spans="1:32">
      <c r="A24">
        <v>10023</v>
      </c>
      <c r="B24">
        <v>1769</v>
      </c>
      <c r="C24" s="21">
        <v>45075</v>
      </c>
      <c r="D24" s="21">
        <v>45084</v>
      </c>
      <c r="E24" t="s">
        <v>15</v>
      </c>
      <c r="F24" t="s">
        <v>22</v>
      </c>
      <c r="G24" t="s">
        <v>16</v>
      </c>
      <c r="H24" t="s">
        <v>41</v>
      </c>
      <c r="I24" t="s">
        <v>30</v>
      </c>
      <c r="J24" t="s">
        <v>31</v>
      </c>
      <c r="K24" t="s">
        <v>44</v>
      </c>
      <c r="L24">
        <v>2</v>
      </c>
      <c r="M24">
        <v>2801.74</v>
      </c>
      <c r="N24">
        <v>20</v>
      </c>
      <c r="R24" s="21"/>
      <c r="S24">
        <v>10180</v>
      </c>
      <c r="T24">
        <v>1004</v>
      </c>
      <c r="U24" s="21">
        <v>45004</v>
      </c>
      <c r="V24" s="21">
        <v>45006</v>
      </c>
      <c r="W24" t="s">
        <v>14</v>
      </c>
      <c r="X24" t="s">
        <v>28</v>
      </c>
      <c r="Y24" t="s">
        <v>16</v>
      </c>
      <c r="Z24" t="s">
        <v>34</v>
      </c>
      <c r="AA24" t="s">
        <v>18</v>
      </c>
      <c r="AB24" t="s">
        <v>42</v>
      </c>
      <c r="AC24" t="s">
        <v>44</v>
      </c>
      <c r="AD24">
        <v>8</v>
      </c>
      <c r="AE24">
        <v>2211.17</v>
      </c>
      <c r="AF24">
        <v>10</v>
      </c>
    </row>
    <row r="25" spans="1:32">
      <c r="A25">
        <v>10024</v>
      </c>
      <c r="B25">
        <v>1343</v>
      </c>
      <c r="C25" s="21">
        <v>45075</v>
      </c>
      <c r="D25" s="21">
        <v>45082</v>
      </c>
      <c r="E25" t="s">
        <v>21</v>
      </c>
      <c r="F25" t="s">
        <v>40</v>
      </c>
      <c r="G25" t="s">
        <v>16</v>
      </c>
      <c r="H25" t="s">
        <v>43</v>
      </c>
      <c r="I25" t="s">
        <v>48</v>
      </c>
      <c r="J25" t="s">
        <v>50</v>
      </c>
      <c r="K25" t="s">
        <v>44</v>
      </c>
      <c r="L25">
        <v>1</v>
      </c>
      <c r="M25">
        <v>3606.31</v>
      </c>
      <c r="N25">
        <v>0</v>
      </c>
      <c r="R25" s="21"/>
      <c r="S25">
        <v>10181</v>
      </c>
      <c r="T25">
        <v>1217</v>
      </c>
      <c r="U25" s="21">
        <v>45050</v>
      </c>
      <c r="V25" s="21">
        <v>45053</v>
      </c>
      <c r="W25" t="s">
        <v>14</v>
      </c>
      <c r="X25" t="s">
        <v>22</v>
      </c>
      <c r="Y25" t="s">
        <v>16</v>
      </c>
      <c r="Z25" t="s">
        <v>41</v>
      </c>
      <c r="AA25" t="s">
        <v>48</v>
      </c>
      <c r="AB25" t="s">
        <v>49</v>
      </c>
      <c r="AC25" t="s">
        <v>32</v>
      </c>
      <c r="AD25">
        <v>5</v>
      </c>
      <c r="AE25">
        <v>2329.38</v>
      </c>
      <c r="AF25">
        <v>20</v>
      </c>
    </row>
    <row r="26" spans="1:32">
      <c r="A26">
        <v>10025</v>
      </c>
      <c r="B26">
        <v>1491</v>
      </c>
      <c r="C26" s="21">
        <v>45052</v>
      </c>
      <c r="D26" s="21">
        <v>45061</v>
      </c>
      <c r="E26" t="s">
        <v>36</v>
      </c>
      <c r="F26" t="s">
        <v>37</v>
      </c>
      <c r="G26" t="s">
        <v>29</v>
      </c>
      <c r="H26" t="s">
        <v>43</v>
      </c>
      <c r="I26" t="s">
        <v>56</v>
      </c>
      <c r="J26" t="s">
        <v>58</v>
      </c>
      <c r="K26" t="s">
        <v>44</v>
      </c>
      <c r="L26">
        <v>6</v>
      </c>
      <c r="M26">
        <v>3018.94</v>
      </c>
      <c r="N26">
        <v>5</v>
      </c>
      <c r="R26" s="21"/>
      <c r="S26">
        <v>10183</v>
      </c>
      <c r="T26">
        <v>1766</v>
      </c>
      <c r="U26" s="21">
        <v>45285</v>
      </c>
      <c r="V26" s="21">
        <v>45294</v>
      </c>
      <c r="W26" t="s">
        <v>14</v>
      </c>
      <c r="X26" t="s">
        <v>22</v>
      </c>
      <c r="Y26" t="s">
        <v>29</v>
      </c>
      <c r="Z26" t="s">
        <v>17</v>
      </c>
      <c r="AA26" t="s">
        <v>30</v>
      </c>
      <c r="AB26" t="s">
        <v>38</v>
      </c>
      <c r="AC26" t="s">
        <v>46</v>
      </c>
      <c r="AD26">
        <v>7</v>
      </c>
      <c r="AE26">
        <v>658.07</v>
      </c>
      <c r="AF26">
        <v>20</v>
      </c>
    </row>
    <row r="27" spans="1:32">
      <c r="A27">
        <v>10026</v>
      </c>
      <c r="B27">
        <v>1413</v>
      </c>
      <c r="C27" s="21">
        <v>45228</v>
      </c>
      <c r="D27" s="21">
        <v>45231</v>
      </c>
      <c r="E27" t="s">
        <v>33</v>
      </c>
      <c r="F27" t="s">
        <v>15</v>
      </c>
      <c r="G27" t="s">
        <v>29</v>
      </c>
      <c r="H27" t="s">
        <v>41</v>
      </c>
      <c r="I27" t="s">
        <v>51</v>
      </c>
      <c r="J27" t="s">
        <v>59</v>
      </c>
      <c r="K27" t="s">
        <v>32</v>
      </c>
      <c r="L27">
        <v>9</v>
      </c>
      <c r="M27">
        <v>444.29</v>
      </c>
      <c r="N27">
        <v>5</v>
      </c>
      <c r="R27" s="21"/>
      <c r="S27">
        <v>10192</v>
      </c>
      <c r="T27">
        <v>1891</v>
      </c>
      <c r="U27" s="21">
        <v>45039</v>
      </c>
      <c r="V27" s="21">
        <v>45042</v>
      </c>
      <c r="W27" t="s">
        <v>14</v>
      </c>
      <c r="X27" t="s">
        <v>28</v>
      </c>
      <c r="Y27" t="s">
        <v>29</v>
      </c>
      <c r="Z27" t="s">
        <v>34</v>
      </c>
      <c r="AA27" t="s">
        <v>51</v>
      </c>
      <c r="AB27" t="s">
        <v>59</v>
      </c>
      <c r="AC27" t="s">
        <v>20</v>
      </c>
      <c r="AD27">
        <v>2</v>
      </c>
      <c r="AE27">
        <v>487.23</v>
      </c>
      <c r="AF27">
        <v>15</v>
      </c>
    </row>
    <row r="28" spans="1:32">
      <c r="A28">
        <v>10027</v>
      </c>
      <c r="B28">
        <v>1805</v>
      </c>
      <c r="C28" s="21">
        <v>45286</v>
      </c>
      <c r="D28" s="21">
        <v>45290</v>
      </c>
      <c r="E28" t="s">
        <v>36</v>
      </c>
      <c r="F28" t="s">
        <v>40</v>
      </c>
      <c r="G28" t="s">
        <v>23</v>
      </c>
      <c r="H28" t="s">
        <v>34</v>
      </c>
      <c r="I28" t="s">
        <v>56</v>
      </c>
      <c r="J28" t="s">
        <v>57</v>
      </c>
      <c r="K28" t="s">
        <v>20</v>
      </c>
      <c r="L28">
        <v>3</v>
      </c>
      <c r="M28">
        <v>3599.15</v>
      </c>
      <c r="N28">
        <v>5</v>
      </c>
      <c r="R28" s="21"/>
      <c r="S28">
        <v>10200</v>
      </c>
      <c r="T28">
        <v>1095</v>
      </c>
      <c r="U28" s="21">
        <v>45171</v>
      </c>
      <c r="V28" s="21">
        <v>45176</v>
      </c>
      <c r="W28" t="s">
        <v>14</v>
      </c>
      <c r="X28" t="s">
        <v>28</v>
      </c>
      <c r="Y28" t="s">
        <v>29</v>
      </c>
      <c r="Z28" t="s">
        <v>43</v>
      </c>
      <c r="AA28" t="s">
        <v>18</v>
      </c>
      <c r="AB28" t="s">
        <v>68</v>
      </c>
      <c r="AC28" t="s">
        <v>32</v>
      </c>
      <c r="AD28">
        <v>3</v>
      </c>
      <c r="AE28">
        <v>2701.77</v>
      </c>
      <c r="AF28">
        <v>15</v>
      </c>
    </row>
    <row r="29" spans="1:32">
      <c r="A29">
        <v>10028</v>
      </c>
      <c r="B29">
        <v>1385</v>
      </c>
      <c r="C29" s="21">
        <v>45164</v>
      </c>
      <c r="D29" s="21">
        <v>45172</v>
      </c>
      <c r="E29" t="s">
        <v>39</v>
      </c>
      <c r="F29" t="s">
        <v>22</v>
      </c>
      <c r="G29" t="s">
        <v>23</v>
      </c>
      <c r="H29" t="s">
        <v>24</v>
      </c>
      <c r="I29" t="s">
        <v>48</v>
      </c>
      <c r="J29" t="s">
        <v>50</v>
      </c>
      <c r="K29" t="s">
        <v>32</v>
      </c>
      <c r="L29">
        <v>6</v>
      </c>
      <c r="M29">
        <v>3206.63</v>
      </c>
      <c r="N29">
        <v>20</v>
      </c>
      <c r="R29" s="21"/>
      <c r="S29">
        <v>10201</v>
      </c>
      <c r="T29">
        <v>1899</v>
      </c>
      <c r="U29" s="21">
        <v>44961</v>
      </c>
      <c r="V29" s="21">
        <v>44966</v>
      </c>
      <c r="W29" t="s">
        <v>14</v>
      </c>
      <c r="X29" t="s">
        <v>28</v>
      </c>
      <c r="Y29" t="s">
        <v>29</v>
      </c>
      <c r="Z29" t="s">
        <v>41</v>
      </c>
      <c r="AA29" t="s">
        <v>56</v>
      </c>
      <c r="AB29" t="s">
        <v>58</v>
      </c>
      <c r="AC29" t="s">
        <v>27</v>
      </c>
      <c r="AD29">
        <v>5</v>
      </c>
      <c r="AE29">
        <v>3501.94</v>
      </c>
      <c r="AF29">
        <v>20</v>
      </c>
    </row>
    <row r="30" spans="1:32">
      <c r="A30">
        <v>10029</v>
      </c>
      <c r="B30">
        <v>1191</v>
      </c>
      <c r="C30" s="21">
        <v>45061</v>
      </c>
      <c r="D30" s="21">
        <v>45067</v>
      </c>
      <c r="E30" t="s">
        <v>45</v>
      </c>
      <c r="F30" t="s">
        <v>28</v>
      </c>
      <c r="G30" t="s">
        <v>16</v>
      </c>
      <c r="H30" t="s">
        <v>17</v>
      </c>
      <c r="I30" t="s">
        <v>25</v>
      </c>
      <c r="J30" t="s">
        <v>26</v>
      </c>
      <c r="K30" t="s">
        <v>32</v>
      </c>
      <c r="L30">
        <v>3</v>
      </c>
      <c r="M30">
        <v>759.47</v>
      </c>
      <c r="N30">
        <v>15</v>
      </c>
      <c r="R30" s="21"/>
      <c r="S30">
        <v>10210</v>
      </c>
      <c r="T30">
        <v>1035</v>
      </c>
      <c r="U30" s="21">
        <v>45282</v>
      </c>
      <c r="V30" s="21">
        <v>45284</v>
      </c>
      <c r="W30" t="s">
        <v>14</v>
      </c>
      <c r="X30" t="s">
        <v>53</v>
      </c>
      <c r="Y30" t="s">
        <v>29</v>
      </c>
      <c r="Z30" t="s">
        <v>17</v>
      </c>
      <c r="AA30" t="s">
        <v>18</v>
      </c>
      <c r="AB30" t="s">
        <v>19</v>
      </c>
      <c r="AC30" t="s">
        <v>44</v>
      </c>
      <c r="AD30">
        <v>8</v>
      </c>
      <c r="AE30">
        <v>3656.59</v>
      </c>
      <c r="AF30">
        <v>15</v>
      </c>
    </row>
    <row r="31" spans="1:32">
      <c r="A31">
        <v>10030</v>
      </c>
      <c r="B31">
        <v>1955</v>
      </c>
      <c r="C31" s="21">
        <v>45077</v>
      </c>
      <c r="D31" s="21">
        <v>45082</v>
      </c>
      <c r="E31" t="s">
        <v>45</v>
      </c>
      <c r="F31" t="s">
        <v>22</v>
      </c>
      <c r="G31" t="s">
        <v>29</v>
      </c>
      <c r="H31" t="s">
        <v>34</v>
      </c>
      <c r="I31" t="s">
        <v>25</v>
      </c>
      <c r="J31" t="s">
        <v>60</v>
      </c>
      <c r="K31" t="s">
        <v>44</v>
      </c>
      <c r="L31">
        <v>1</v>
      </c>
      <c r="M31">
        <v>349.38</v>
      </c>
      <c r="N31">
        <v>10</v>
      </c>
      <c r="R31" s="21"/>
      <c r="S31">
        <v>10215</v>
      </c>
      <c r="T31">
        <v>1242</v>
      </c>
      <c r="U31" s="21">
        <v>45157</v>
      </c>
      <c r="V31" s="21">
        <v>45162</v>
      </c>
      <c r="W31" t="s">
        <v>14</v>
      </c>
      <c r="X31" t="s">
        <v>15</v>
      </c>
      <c r="Y31" t="s">
        <v>16</v>
      </c>
      <c r="Z31" t="s">
        <v>24</v>
      </c>
      <c r="AA31" t="s">
        <v>25</v>
      </c>
      <c r="AB31" t="s">
        <v>26</v>
      </c>
      <c r="AC31" t="s">
        <v>20</v>
      </c>
      <c r="AD31">
        <v>5</v>
      </c>
      <c r="AE31">
        <v>633.42999999999995</v>
      </c>
      <c r="AF31">
        <v>20</v>
      </c>
    </row>
    <row r="32" spans="1:32">
      <c r="A32">
        <v>10031</v>
      </c>
      <c r="B32">
        <v>1276</v>
      </c>
      <c r="C32" s="21">
        <v>45162</v>
      </c>
      <c r="D32" s="21">
        <v>45166</v>
      </c>
      <c r="E32" t="s">
        <v>14</v>
      </c>
      <c r="F32" t="s">
        <v>28</v>
      </c>
      <c r="G32" t="s">
        <v>29</v>
      </c>
      <c r="H32" t="s">
        <v>41</v>
      </c>
      <c r="I32" t="s">
        <v>56</v>
      </c>
      <c r="J32" t="s">
        <v>61</v>
      </c>
      <c r="K32" t="s">
        <v>46</v>
      </c>
      <c r="L32">
        <v>5</v>
      </c>
      <c r="M32">
        <v>2295.65</v>
      </c>
      <c r="N32">
        <v>20</v>
      </c>
      <c r="R32" s="21"/>
      <c r="S32">
        <v>10245</v>
      </c>
      <c r="T32">
        <v>1972</v>
      </c>
      <c r="U32" s="21">
        <v>45143</v>
      </c>
      <c r="V32" s="21">
        <v>45148</v>
      </c>
      <c r="W32" t="s">
        <v>14</v>
      </c>
      <c r="X32" t="s">
        <v>15</v>
      </c>
      <c r="Y32" t="s">
        <v>29</v>
      </c>
      <c r="Z32" t="s">
        <v>41</v>
      </c>
      <c r="AA32" t="s">
        <v>48</v>
      </c>
      <c r="AB32" t="s">
        <v>50</v>
      </c>
      <c r="AC32" t="s">
        <v>46</v>
      </c>
      <c r="AD32">
        <v>8</v>
      </c>
      <c r="AE32">
        <v>1504.45</v>
      </c>
      <c r="AF32">
        <v>20</v>
      </c>
    </row>
    <row r="33" spans="1:32">
      <c r="A33">
        <v>10032</v>
      </c>
      <c r="B33">
        <v>1160</v>
      </c>
      <c r="C33" s="21">
        <v>45150</v>
      </c>
      <c r="D33" s="21">
        <v>45158</v>
      </c>
      <c r="E33" t="s">
        <v>14</v>
      </c>
      <c r="F33" t="s">
        <v>40</v>
      </c>
      <c r="G33" t="s">
        <v>29</v>
      </c>
      <c r="H33" t="s">
        <v>17</v>
      </c>
      <c r="I33" t="s">
        <v>18</v>
      </c>
      <c r="J33" t="s">
        <v>42</v>
      </c>
      <c r="K33" t="s">
        <v>20</v>
      </c>
      <c r="L33">
        <v>4</v>
      </c>
      <c r="M33">
        <v>750.74</v>
      </c>
      <c r="N33">
        <v>5</v>
      </c>
      <c r="R33" s="21"/>
      <c r="S33">
        <v>10247</v>
      </c>
      <c r="T33">
        <v>1258</v>
      </c>
      <c r="U33" s="21">
        <v>44996</v>
      </c>
      <c r="V33" s="21">
        <v>44998</v>
      </c>
      <c r="W33" t="s">
        <v>14</v>
      </c>
      <c r="X33" t="s">
        <v>53</v>
      </c>
      <c r="Y33" t="s">
        <v>29</v>
      </c>
      <c r="Z33" t="s">
        <v>34</v>
      </c>
      <c r="AA33" t="s">
        <v>51</v>
      </c>
      <c r="AB33" t="s">
        <v>63</v>
      </c>
      <c r="AC33" t="s">
        <v>46</v>
      </c>
      <c r="AD33">
        <v>7</v>
      </c>
      <c r="AE33">
        <v>2102.27</v>
      </c>
      <c r="AF33">
        <v>20</v>
      </c>
    </row>
    <row r="34" spans="1:32">
      <c r="A34">
        <v>10033</v>
      </c>
      <c r="B34">
        <v>1459</v>
      </c>
      <c r="C34" s="21">
        <v>45129</v>
      </c>
      <c r="D34" s="21">
        <v>45130</v>
      </c>
      <c r="E34" t="s">
        <v>21</v>
      </c>
      <c r="F34" t="s">
        <v>37</v>
      </c>
      <c r="G34" t="s">
        <v>16</v>
      </c>
      <c r="H34" t="s">
        <v>43</v>
      </c>
      <c r="I34" t="s">
        <v>56</v>
      </c>
      <c r="J34" t="s">
        <v>58</v>
      </c>
      <c r="K34" t="s">
        <v>44</v>
      </c>
      <c r="L34">
        <v>7</v>
      </c>
      <c r="M34">
        <v>3363.18</v>
      </c>
      <c r="N34">
        <v>20</v>
      </c>
      <c r="R34" s="21"/>
      <c r="S34">
        <v>10261</v>
      </c>
      <c r="T34">
        <v>1826</v>
      </c>
      <c r="U34" s="21">
        <v>44933</v>
      </c>
      <c r="V34" s="21">
        <v>44936</v>
      </c>
      <c r="W34" t="s">
        <v>14</v>
      </c>
      <c r="X34" t="s">
        <v>53</v>
      </c>
      <c r="Y34" t="s">
        <v>23</v>
      </c>
      <c r="Z34" t="s">
        <v>24</v>
      </c>
      <c r="AA34" t="s">
        <v>30</v>
      </c>
      <c r="AB34" t="s">
        <v>31</v>
      </c>
      <c r="AC34" t="s">
        <v>32</v>
      </c>
      <c r="AD34">
        <v>2</v>
      </c>
      <c r="AE34">
        <v>533.25</v>
      </c>
      <c r="AF34">
        <v>0</v>
      </c>
    </row>
    <row r="35" spans="1:32">
      <c r="A35">
        <v>10034</v>
      </c>
      <c r="B35">
        <v>1313</v>
      </c>
      <c r="C35" s="21">
        <v>45182</v>
      </c>
      <c r="D35" s="21">
        <v>45191</v>
      </c>
      <c r="E35" t="s">
        <v>33</v>
      </c>
      <c r="F35" t="s">
        <v>22</v>
      </c>
      <c r="G35" t="s">
        <v>29</v>
      </c>
      <c r="H35" t="s">
        <v>24</v>
      </c>
      <c r="I35" t="s">
        <v>30</v>
      </c>
      <c r="J35" t="s">
        <v>47</v>
      </c>
      <c r="K35" t="s">
        <v>46</v>
      </c>
      <c r="L35">
        <v>6</v>
      </c>
      <c r="M35">
        <v>1529.59</v>
      </c>
      <c r="N35">
        <v>0</v>
      </c>
      <c r="R35" s="21"/>
      <c r="S35">
        <v>10262</v>
      </c>
      <c r="T35">
        <v>1373</v>
      </c>
      <c r="U35" s="21">
        <v>44996</v>
      </c>
      <c r="V35" s="21">
        <v>44998</v>
      </c>
      <c r="W35" t="s">
        <v>14</v>
      </c>
      <c r="X35" t="s">
        <v>22</v>
      </c>
      <c r="Y35" t="s">
        <v>16</v>
      </c>
      <c r="Z35" t="s">
        <v>43</v>
      </c>
      <c r="AA35" t="s">
        <v>56</v>
      </c>
      <c r="AB35" t="s">
        <v>58</v>
      </c>
      <c r="AC35" t="s">
        <v>20</v>
      </c>
      <c r="AD35">
        <v>7</v>
      </c>
      <c r="AE35">
        <v>2472.29</v>
      </c>
      <c r="AF35">
        <v>10</v>
      </c>
    </row>
    <row r="36" spans="1:32">
      <c r="A36">
        <v>10035</v>
      </c>
      <c r="B36">
        <v>1021</v>
      </c>
      <c r="C36" s="21">
        <v>45012</v>
      </c>
      <c r="D36" s="21">
        <v>45013</v>
      </c>
      <c r="E36" t="s">
        <v>39</v>
      </c>
      <c r="F36" t="s">
        <v>28</v>
      </c>
      <c r="G36" t="s">
        <v>29</v>
      </c>
      <c r="H36" t="s">
        <v>43</v>
      </c>
      <c r="I36" t="s">
        <v>30</v>
      </c>
      <c r="J36" t="s">
        <v>47</v>
      </c>
      <c r="K36" t="s">
        <v>46</v>
      </c>
      <c r="L36">
        <v>7</v>
      </c>
      <c r="M36">
        <v>3664.64</v>
      </c>
      <c r="N36">
        <v>5</v>
      </c>
      <c r="R36" s="21"/>
      <c r="S36">
        <v>10264</v>
      </c>
      <c r="T36">
        <v>1607</v>
      </c>
      <c r="U36" s="21">
        <v>45086</v>
      </c>
      <c r="V36" s="21">
        <v>45091</v>
      </c>
      <c r="W36" t="s">
        <v>14</v>
      </c>
      <c r="X36" t="s">
        <v>15</v>
      </c>
      <c r="Y36" t="s">
        <v>29</v>
      </c>
      <c r="Z36" t="s">
        <v>43</v>
      </c>
      <c r="AA36" t="s">
        <v>51</v>
      </c>
      <c r="AB36" t="s">
        <v>59</v>
      </c>
      <c r="AC36" t="s">
        <v>46</v>
      </c>
      <c r="AD36">
        <v>4</v>
      </c>
      <c r="AE36">
        <v>1126.3</v>
      </c>
      <c r="AF36">
        <v>20</v>
      </c>
    </row>
    <row r="37" spans="1:32">
      <c r="A37">
        <v>10036</v>
      </c>
      <c r="B37">
        <v>1252</v>
      </c>
      <c r="C37" s="21">
        <v>45076</v>
      </c>
      <c r="D37" s="21">
        <v>45084</v>
      </c>
      <c r="E37" t="s">
        <v>15</v>
      </c>
      <c r="F37" t="s">
        <v>37</v>
      </c>
      <c r="G37" t="s">
        <v>16</v>
      </c>
      <c r="H37" t="s">
        <v>41</v>
      </c>
      <c r="I37" t="s">
        <v>25</v>
      </c>
      <c r="J37" t="s">
        <v>26</v>
      </c>
      <c r="K37" t="s">
        <v>27</v>
      </c>
      <c r="L37">
        <v>5</v>
      </c>
      <c r="M37">
        <v>2327.9</v>
      </c>
      <c r="N37">
        <v>0</v>
      </c>
      <c r="R37" s="21"/>
      <c r="S37">
        <v>10269</v>
      </c>
      <c r="T37">
        <v>1829</v>
      </c>
      <c r="U37" s="21">
        <v>45125</v>
      </c>
      <c r="V37" s="21">
        <v>45132</v>
      </c>
      <c r="W37" t="s">
        <v>14</v>
      </c>
      <c r="X37" t="s">
        <v>40</v>
      </c>
      <c r="Y37" t="s">
        <v>23</v>
      </c>
      <c r="Z37" t="s">
        <v>34</v>
      </c>
      <c r="AA37" t="s">
        <v>48</v>
      </c>
      <c r="AB37" t="s">
        <v>50</v>
      </c>
      <c r="AC37" t="s">
        <v>46</v>
      </c>
      <c r="AD37">
        <v>5</v>
      </c>
      <c r="AE37">
        <v>3156.54</v>
      </c>
      <c r="AF37">
        <v>20</v>
      </c>
    </row>
    <row r="38" spans="1:32">
      <c r="A38">
        <v>10037</v>
      </c>
      <c r="B38">
        <v>1747</v>
      </c>
      <c r="C38" s="21">
        <v>45161</v>
      </c>
      <c r="D38" s="21">
        <v>45165</v>
      </c>
      <c r="E38" t="s">
        <v>36</v>
      </c>
      <c r="F38" t="s">
        <v>15</v>
      </c>
      <c r="G38" t="s">
        <v>23</v>
      </c>
      <c r="H38" t="s">
        <v>17</v>
      </c>
      <c r="I38" t="s">
        <v>18</v>
      </c>
      <c r="J38" t="s">
        <v>54</v>
      </c>
      <c r="K38" t="s">
        <v>20</v>
      </c>
      <c r="L38">
        <v>4</v>
      </c>
      <c r="M38">
        <v>853.29</v>
      </c>
      <c r="N38">
        <v>5</v>
      </c>
      <c r="R38" s="21"/>
      <c r="S38">
        <v>10286</v>
      </c>
      <c r="T38">
        <v>1641</v>
      </c>
      <c r="U38" s="21">
        <v>45043</v>
      </c>
      <c r="V38" s="21">
        <v>45050</v>
      </c>
      <c r="W38" t="s">
        <v>14</v>
      </c>
      <c r="X38" t="s">
        <v>28</v>
      </c>
      <c r="Y38" t="s">
        <v>16</v>
      </c>
      <c r="Z38" t="s">
        <v>43</v>
      </c>
      <c r="AA38" t="s">
        <v>56</v>
      </c>
      <c r="AB38" t="s">
        <v>57</v>
      </c>
      <c r="AC38" t="s">
        <v>27</v>
      </c>
      <c r="AD38">
        <v>6</v>
      </c>
      <c r="AE38">
        <v>220.79</v>
      </c>
      <c r="AF38">
        <v>5</v>
      </c>
    </row>
    <row r="39" spans="1:32">
      <c r="A39">
        <v>10038</v>
      </c>
      <c r="B39">
        <v>1856</v>
      </c>
      <c r="C39" s="21">
        <v>45271</v>
      </c>
      <c r="D39" s="21">
        <v>45280</v>
      </c>
      <c r="E39" t="s">
        <v>21</v>
      </c>
      <c r="F39" t="s">
        <v>28</v>
      </c>
      <c r="G39" t="s">
        <v>23</v>
      </c>
      <c r="H39" t="s">
        <v>41</v>
      </c>
      <c r="I39" t="s">
        <v>48</v>
      </c>
      <c r="J39" t="s">
        <v>62</v>
      </c>
      <c r="K39" t="s">
        <v>46</v>
      </c>
      <c r="L39">
        <v>7</v>
      </c>
      <c r="M39">
        <v>687.46</v>
      </c>
      <c r="N39">
        <v>20</v>
      </c>
      <c r="R39" s="21"/>
      <c r="S39">
        <v>10291</v>
      </c>
      <c r="T39">
        <v>1735</v>
      </c>
      <c r="U39" s="21">
        <v>45007</v>
      </c>
      <c r="V39" s="21">
        <v>45008</v>
      </c>
      <c r="W39" t="s">
        <v>14</v>
      </c>
      <c r="X39" t="s">
        <v>53</v>
      </c>
      <c r="Y39" t="s">
        <v>23</v>
      </c>
      <c r="Z39" t="s">
        <v>24</v>
      </c>
      <c r="AA39" t="s">
        <v>51</v>
      </c>
      <c r="AB39" t="s">
        <v>52</v>
      </c>
      <c r="AC39" t="s">
        <v>32</v>
      </c>
      <c r="AD39">
        <v>9</v>
      </c>
      <c r="AE39">
        <v>2661.11</v>
      </c>
      <c r="AF39">
        <v>10</v>
      </c>
    </row>
    <row r="40" spans="1:32">
      <c r="A40">
        <v>10039</v>
      </c>
      <c r="B40">
        <v>1560</v>
      </c>
      <c r="C40" s="21">
        <v>44948</v>
      </c>
      <c r="D40" s="21">
        <v>44953</v>
      </c>
      <c r="E40" t="s">
        <v>33</v>
      </c>
      <c r="F40" t="s">
        <v>40</v>
      </c>
      <c r="G40" t="s">
        <v>16</v>
      </c>
      <c r="H40" t="s">
        <v>17</v>
      </c>
      <c r="I40" t="s">
        <v>30</v>
      </c>
      <c r="J40" t="s">
        <v>47</v>
      </c>
      <c r="K40" t="s">
        <v>44</v>
      </c>
      <c r="L40">
        <v>7</v>
      </c>
      <c r="M40">
        <v>2369.42</v>
      </c>
      <c r="N40">
        <v>15</v>
      </c>
      <c r="R40" s="21"/>
      <c r="S40">
        <v>10307</v>
      </c>
      <c r="T40">
        <v>1183</v>
      </c>
      <c r="U40" s="21">
        <v>45267</v>
      </c>
      <c r="V40" s="21">
        <v>45273</v>
      </c>
      <c r="W40" t="s">
        <v>14</v>
      </c>
      <c r="X40" t="s">
        <v>15</v>
      </c>
      <c r="Y40" t="s">
        <v>23</v>
      </c>
      <c r="Z40" t="s">
        <v>41</v>
      </c>
      <c r="AA40" t="s">
        <v>56</v>
      </c>
      <c r="AB40" t="s">
        <v>57</v>
      </c>
      <c r="AC40" t="s">
        <v>27</v>
      </c>
      <c r="AD40">
        <v>4</v>
      </c>
      <c r="AE40">
        <v>2008.45</v>
      </c>
      <c r="AF40">
        <v>5</v>
      </c>
    </row>
    <row r="41" spans="1:32">
      <c r="A41">
        <v>10040</v>
      </c>
      <c r="B41">
        <v>1474</v>
      </c>
      <c r="C41" s="21">
        <v>45274</v>
      </c>
      <c r="D41" s="21">
        <v>45277</v>
      </c>
      <c r="E41" t="s">
        <v>14</v>
      </c>
      <c r="F41" t="s">
        <v>15</v>
      </c>
      <c r="G41" t="s">
        <v>29</v>
      </c>
      <c r="H41" t="s">
        <v>34</v>
      </c>
      <c r="I41" t="s">
        <v>25</v>
      </c>
      <c r="J41" t="s">
        <v>26</v>
      </c>
      <c r="K41" t="s">
        <v>27</v>
      </c>
      <c r="L41">
        <v>6</v>
      </c>
      <c r="M41">
        <v>3083.25</v>
      </c>
      <c r="N41">
        <v>10</v>
      </c>
      <c r="R41" s="21"/>
      <c r="S41">
        <v>10318</v>
      </c>
      <c r="T41">
        <v>1906</v>
      </c>
      <c r="U41" s="21">
        <v>45093</v>
      </c>
      <c r="V41" s="21">
        <v>45097</v>
      </c>
      <c r="W41" t="s">
        <v>14</v>
      </c>
      <c r="X41" t="s">
        <v>22</v>
      </c>
      <c r="Y41" t="s">
        <v>29</v>
      </c>
      <c r="Z41" t="s">
        <v>34</v>
      </c>
      <c r="AA41" t="s">
        <v>48</v>
      </c>
      <c r="AB41" t="s">
        <v>66</v>
      </c>
      <c r="AC41" t="s">
        <v>20</v>
      </c>
      <c r="AD41">
        <v>7</v>
      </c>
      <c r="AE41">
        <v>245.03</v>
      </c>
      <c r="AF41">
        <v>0</v>
      </c>
    </row>
    <row r="42" spans="1:32">
      <c r="A42">
        <v>10041</v>
      </c>
      <c r="B42">
        <v>1058</v>
      </c>
      <c r="C42" s="21">
        <v>45211</v>
      </c>
      <c r="D42" s="21">
        <v>45220</v>
      </c>
      <c r="E42" t="s">
        <v>36</v>
      </c>
      <c r="F42" t="s">
        <v>15</v>
      </c>
      <c r="G42" t="s">
        <v>16</v>
      </c>
      <c r="H42" t="s">
        <v>24</v>
      </c>
      <c r="I42" t="s">
        <v>51</v>
      </c>
      <c r="J42" t="s">
        <v>63</v>
      </c>
      <c r="K42" t="s">
        <v>20</v>
      </c>
      <c r="L42">
        <v>8</v>
      </c>
      <c r="M42">
        <v>3158.8</v>
      </c>
      <c r="N42">
        <v>0</v>
      </c>
      <c r="R42" s="21"/>
      <c r="S42">
        <v>10320</v>
      </c>
      <c r="T42">
        <v>1751</v>
      </c>
      <c r="U42" s="21">
        <v>45002</v>
      </c>
      <c r="V42" s="21">
        <v>45005</v>
      </c>
      <c r="W42" t="s">
        <v>14</v>
      </c>
      <c r="X42" t="s">
        <v>15</v>
      </c>
      <c r="Y42" t="s">
        <v>16</v>
      </c>
      <c r="Z42" t="s">
        <v>34</v>
      </c>
      <c r="AA42" t="s">
        <v>25</v>
      </c>
      <c r="AB42" t="s">
        <v>35</v>
      </c>
      <c r="AC42" t="s">
        <v>27</v>
      </c>
      <c r="AD42">
        <v>8</v>
      </c>
      <c r="AE42">
        <v>2254.7800000000002</v>
      </c>
      <c r="AF42">
        <v>0</v>
      </c>
    </row>
    <row r="43" spans="1:32">
      <c r="A43">
        <v>10042</v>
      </c>
      <c r="B43">
        <v>1510</v>
      </c>
      <c r="C43" s="21">
        <v>45195</v>
      </c>
      <c r="D43" s="21">
        <v>45204</v>
      </c>
      <c r="E43" t="s">
        <v>14</v>
      </c>
      <c r="F43" t="s">
        <v>53</v>
      </c>
      <c r="G43" t="s">
        <v>23</v>
      </c>
      <c r="H43" t="s">
        <v>34</v>
      </c>
      <c r="I43" t="s">
        <v>25</v>
      </c>
      <c r="J43" t="s">
        <v>26</v>
      </c>
      <c r="K43" t="s">
        <v>32</v>
      </c>
      <c r="L43">
        <v>4</v>
      </c>
      <c r="M43">
        <v>1211.67</v>
      </c>
      <c r="N43">
        <v>20</v>
      </c>
      <c r="R43" s="21"/>
      <c r="S43">
        <v>10322</v>
      </c>
      <c r="T43">
        <v>1608</v>
      </c>
      <c r="U43" s="21">
        <v>45220</v>
      </c>
      <c r="V43" s="21">
        <v>45222</v>
      </c>
      <c r="W43" t="s">
        <v>14</v>
      </c>
      <c r="X43" t="s">
        <v>53</v>
      </c>
      <c r="Y43" t="s">
        <v>29</v>
      </c>
      <c r="Z43" t="s">
        <v>34</v>
      </c>
      <c r="AA43" t="s">
        <v>25</v>
      </c>
      <c r="AB43" t="s">
        <v>60</v>
      </c>
      <c r="AC43" t="s">
        <v>27</v>
      </c>
      <c r="AD43">
        <v>5</v>
      </c>
      <c r="AE43">
        <v>640.82000000000005</v>
      </c>
      <c r="AF43">
        <v>0</v>
      </c>
    </row>
    <row r="44" spans="1:32">
      <c r="A44">
        <v>10043</v>
      </c>
      <c r="B44">
        <v>1681</v>
      </c>
      <c r="C44" s="21">
        <v>45184</v>
      </c>
      <c r="D44" s="21">
        <v>45188</v>
      </c>
      <c r="E44" t="s">
        <v>36</v>
      </c>
      <c r="F44" t="s">
        <v>22</v>
      </c>
      <c r="G44" t="s">
        <v>23</v>
      </c>
      <c r="H44" t="s">
        <v>34</v>
      </c>
      <c r="I44" t="s">
        <v>30</v>
      </c>
      <c r="J44" t="s">
        <v>47</v>
      </c>
      <c r="K44" t="s">
        <v>44</v>
      </c>
      <c r="L44">
        <v>5</v>
      </c>
      <c r="M44">
        <v>936.35</v>
      </c>
      <c r="N44">
        <v>15</v>
      </c>
      <c r="R44" s="21"/>
      <c r="S44">
        <v>10332</v>
      </c>
      <c r="T44">
        <v>1954</v>
      </c>
      <c r="U44" s="21">
        <v>44946</v>
      </c>
      <c r="V44" s="21">
        <v>44955</v>
      </c>
      <c r="W44" t="s">
        <v>14</v>
      </c>
      <c r="X44" t="s">
        <v>22</v>
      </c>
      <c r="Y44" t="s">
        <v>16</v>
      </c>
      <c r="Z44" t="s">
        <v>41</v>
      </c>
      <c r="AA44" t="s">
        <v>56</v>
      </c>
      <c r="AB44" t="s">
        <v>65</v>
      </c>
      <c r="AC44" t="s">
        <v>20</v>
      </c>
      <c r="AD44">
        <v>2</v>
      </c>
      <c r="AE44">
        <v>1335.36</v>
      </c>
      <c r="AF44">
        <v>5</v>
      </c>
    </row>
    <row r="45" spans="1:32">
      <c r="A45">
        <v>10044</v>
      </c>
      <c r="B45">
        <v>1475</v>
      </c>
      <c r="C45" s="21">
        <v>44955</v>
      </c>
      <c r="D45" s="21">
        <v>44959</v>
      </c>
      <c r="E45" t="s">
        <v>15</v>
      </c>
      <c r="F45" t="s">
        <v>28</v>
      </c>
      <c r="G45" t="s">
        <v>16</v>
      </c>
      <c r="H45" t="s">
        <v>41</v>
      </c>
      <c r="I45" t="s">
        <v>30</v>
      </c>
      <c r="J45" t="s">
        <v>47</v>
      </c>
      <c r="K45" t="s">
        <v>46</v>
      </c>
      <c r="L45">
        <v>4</v>
      </c>
      <c r="M45">
        <v>214.51</v>
      </c>
      <c r="N45">
        <v>20</v>
      </c>
      <c r="R45" s="21"/>
      <c r="S45">
        <v>10339</v>
      </c>
      <c r="T45">
        <v>1147</v>
      </c>
      <c r="U45" s="21">
        <v>45005</v>
      </c>
      <c r="V45" s="21">
        <v>45012</v>
      </c>
      <c r="W45" t="s">
        <v>14</v>
      </c>
      <c r="X45" t="s">
        <v>53</v>
      </c>
      <c r="Y45" t="s">
        <v>16</v>
      </c>
      <c r="Z45" t="s">
        <v>24</v>
      </c>
      <c r="AA45" t="s">
        <v>30</v>
      </c>
      <c r="AB45" t="s">
        <v>31</v>
      </c>
      <c r="AC45" t="s">
        <v>20</v>
      </c>
      <c r="AD45">
        <v>4</v>
      </c>
      <c r="AE45">
        <v>3708.51</v>
      </c>
      <c r="AF45">
        <v>5</v>
      </c>
    </row>
    <row r="46" spans="1:32">
      <c r="A46">
        <v>10045</v>
      </c>
      <c r="B46">
        <v>1699</v>
      </c>
      <c r="C46" s="21">
        <v>45139</v>
      </c>
      <c r="D46" s="21">
        <v>45147</v>
      </c>
      <c r="E46" t="s">
        <v>33</v>
      </c>
      <c r="F46" t="s">
        <v>15</v>
      </c>
      <c r="G46" t="s">
        <v>16</v>
      </c>
      <c r="H46" t="s">
        <v>24</v>
      </c>
      <c r="I46" t="s">
        <v>25</v>
      </c>
      <c r="J46" t="s">
        <v>60</v>
      </c>
      <c r="K46" t="s">
        <v>46</v>
      </c>
      <c r="L46">
        <v>1</v>
      </c>
      <c r="M46">
        <v>2764.92</v>
      </c>
      <c r="N46">
        <v>0</v>
      </c>
      <c r="R46" s="21"/>
      <c r="S46">
        <v>10342</v>
      </c>
      <c r="T46">
        <v>1819</v>
      </c>
      <c r="U46" s="21">
        <v>45018</v>
      </c>
      <c r="V46" s="21">
        <v>45019</v>
      </c>
      <c r="W46" t="s">
        <v>14</v>
      </c>
      <c r="X46" t="s">
        <v>53</v>
      </c>
      <c r="Y46" t="s">
        <v>16</v>
      </c>
      <c r="Z46" t="s">
        <v>34</v>
      </c>
      <c r="AA46" t="s">
        <v>25</v>
      </c>
      <c r="AB46" t="s">
        <v>26</v>
      </c>
      <c r="AC46" t="s">
        <v>46</v>
      </c>
      <c r="AD46">
        <v>5</v>
      </c>
      <c r="AE46">
        <v>1853.11</v>
      </c>
      <c r="AF46">
        <v>10</v>
      </c>
    </row>
    <row r="47" spans="1:32">
      <c r="A47">
        <v>10046</v>
      </c>
      <c r="B47">
        <v>1975</v>
      </c>
      <c r="C47" s="21">
        <v>45209</v>
      </c>
      <c r="D47" s="21">
        <v>45211</v>
      </c>
      <c r="E47" t="s">
        <v>36</v>
      </c>
      <c r="F47" t="s">
        <v>53</v>
      </c>
      <c r="G47" t="s">
        <v>23</v>
      </c>
      <c r="H47" t="s">
        <v>17</v>
      </c>
      <c r="I47" t="s">
        <v>48</v>
      </c>
      <c r="J47" t="s">
        <v>50</v>
      </c>
      <c r="K47" t="s">
        <v>44</v>
      </c>
      <c r="L47">
        <v>8</v>
      </c>
      <c r="M47">
        <v>444.79</v>
      </c>
      <c r="N47">
        <v>10</v>
      </c>
      <c r="R47" s="21"/>
      <c r="S47">
        <v>10347</v>
      </c>
      <c r="T47">
        <v>1550</v>
      </c>
      <c r="U47" s="21">
        <v>44952</v>
      </c>
      <c r="V47" s="21">
        <v>44954</v>
      </c>
      <c r="W47" t="s">
        <v>14</v>
      </c>
      <c r="X47" t="s">
        <v>28</v>
      </c>
      <c r="Y47" t="s">
        <v>23</v>
      </c>
      <c r="Z47" t="s">
        <v>43</v>
      </c>
      <c r="AA47" t="s">
        <v>18</v>
      </c>
      <c r="AB47" t="s">
        <v>19</v>
      </c>
      <c r="AC47" t="s">
        <v>44</v>
      </c>
      <c r="AD47">
        <v>4</v>
      </c>
      <c r="AE47">
        <v>640.37</v>
      </c>
      <c r="AF47">
        <v>20</v>
      </c>
    </row>
    <row r="48" spans="1:32">
      <c r="A48">
        <v>10047</v>
      </c>
      <c r="B48">
        <v>1782</v>
      </c>
      <c r="C48" s="21">
        <v>44976</v>
      </c>
      <c r="D48" s="21">
        <v>44985</v>
      </c>
      <c r="E48" t="s">
        <v>39</v>
      </c>
      <c r="F48" t="s">
        <v>40</v>
      </c>
      <c r="G48" t="s">
        <v>16</v>
      </c>
      <c r="H48" t="s">
        <v>17</v>
      </c>
      <c r="I48" t="s">
        <v>56</v>
      </c>
      <c r="J48" t="s">
        <v>61</v>
      </c>
      <c r="K48" t="s">
        <v>46</v>
      </c>
      <c r="L48">
        <v>1</v>
      </c>
      <c r="M48">
        <v>1769.93</v>
      </c>
      <c r="N48">
        <v>20</v>
      </c>
      <c r="R48" s="21"/>
      <c r="S48">
        <v>10350</v>
      </c>
      <c r="T48">
        <v>1640</v>
      </c>
      <c r="U48" s="21">
        <v>45180</v>
      </c>
      <c r="V48" s="21">
        <v>45185</v>
      </c>
      <c r="W48" t="s">
        <v>14</v>
      </c>
      <c r="X48" t="s">
        <v>40</v>
      </c>
      <c r="Y48" t="s">
        <v>16</v>
      </c>
      <c r="Z48" t="s">
        <v>43</v>
      </c>
      <c r="AA48" t="s">
        <v>56</v>
      </c>
      <c r="AB48" t="s">
        <v>61</v>
      </c>
      <c r="AC48" t="s">
        <v>20</v>
      </c>
      <c r="AD48">
        <v>1</v>
      </c>
      <c r="AE48">
        <v>3708.38</v>
      </c>
      <c r="AF48">
        <v>20</v>
      </c>
    </row>
    <row r="49" spans="1:32">
      <c r="A49">
        <v>10048</v>
      </c>
      <c r="B49">
        <v>1189</v>
      </c>
      <c r="C49" s="21">
        <v>45021</v>
      </c>
      <c r="D49" s="21">
        <v>45027</v>
      </c>
      <c r="E49" t="s">
        <v>21</v>
      </c>
      <c r="F49" t="s">
        <v>37</v>
      </c>
      <c r="G49" t="s">
        <v>23</v>
      </c>
      <c r="H49" t="s">
        <v>43</v>
      </c>
      <c r="I49" t="s">
        <v>30</v>
      </c>
      <c r="J49" t="s">
        <v>64</v>
      </c>
      <c r="K49" t="s">
        <v>27</v>
      </c>
      <c r="L49">
        <v>5</v>
      </c>
      <c r="M49">
        <v>2466.48</v>
      </c>
      <c r="N49">
        <v>5</v>
      </c>
      <c r="R49" s="21"/>
      <c r="S49">
        <v>10358</v>
      </c>
      <c r="T49">
        <v>1989</v>
      </c>
      <c r="U49" s="21">
        <v>45015</v>
      </c>
      <c r="V49" s="21">
        <v>45019</v>
      </c>
      <c r="W49" t="s">
        <v>14</v>
      </c>
      <c r="X49" t="s">
        <v>28</v>
      </c>
      <c r="Y49" t="s">
        <v>29</v>
      </c>
      <c r="Z49" t="s">
        <v>34</v>
      </c>
      <c r="AA49" t="s">
        <v>56</v>
      </c>
      <c r="AB49" t="s">
        <v>57</v>
      </c>
      <c r="AC49" t="s">
        <v>32</v>
      </c>
      <c r="AD49">
        <v>8</v>
      </c>
      <c r="AE49">
        <v>3581.12</v>
      </c>
      <c r="AF49">
        <v>15</v>
      </c>
    </row>
    <row r="50" spans="1:32">
      <c r="A50">
        <v>10049</v>
      </c>
      <c r="B50">
        <v>1957</v>
      </c>
      <c r="C50" s="21">
        <v>45014</v>
      </c>
      <c r="D50" s="21">
        <v>45023</v>
      </c>
      <c r="E50" t="s">
        <v>45</v>
      </c>
      <c r="F50" t="s">
        <v>28</v>
      </c>
      <c r="G50" t="s">
        <v>16</v>
      </c>
      <c r="H50" t="s">
        <v>17</v>
      </c>
      <c r="I50" t="s">
        <v>25</v>
      </c>
      <c r="J50" t="s">
        <v>26</v>
      </c>
      <c r="K50" t="s">
        <v>20</v>
      </c>
      <c r="L50">
        <v>6</v>
      </c>
      <c r="M50">
        <v>3757.87</v>
      </c>
      <c r="N50">
        <v>15</v>
      </c>
      <c r="R50" s="21"/>
      <c r="S50">
        <v>10366</v>
      </c>
      <c r="T50">
        <v>1571</v>
      </c>
      <c r="U50" s="21">
        <v>45223</v>
      </c>
      <c r="V50" s="21">
        <v>45226</v>
      </c>
      <c r="W50" t="s">
        <v>14</v>
      </c>
      <c r="X50" t="s">
        <v>15</v>
      </c>
      <c r="Y50" t="s">
        <v>23</v>
      </c>
      <c r="Z50" t="s">
        <v>41</v>
      </c>
      <c r="AA50" t="s">
        <v>48</v>
      </c>
      <c r="AB50" t="s">
        <v>62</v>
      </c>
      <c r="AC50" t="s">
        <v>20</v>
      </c>
      <c r="AD50">
        <v>5</v>
      </c>
      <c r="AE50">
        <v>3320.88</v>
      </c>
      <c r="AF50">
        <v>0</v>
      </c>
    </row>
    <row r="51" spans="1:32">
      <c r="A51">
        <v>10050</v>
      </c>
      <c r="B51">
        <v>1686</v>
      </c>
      <c r="C51" s="21">
        <v>44970</v>
      </c>
      <c r="D51" s="21">
        <v>44978</v>
      </c>
      <c r="E51" t="s">
        <v>39</v>
      </c>
      <c r="F51" t="s">
        <v>15</v>
      </c>
      <c r="G51" t="s">
        <v>16</v>
      </c>
      <c r="H51" t="s">
        <v>41</v>
      </c>
      <c r="I51" t="s">
        <v>25</v>
      </c>
      <c r="J51" t="s">
        <v>60</v>
      </c>
      <c r="K51" t="s">
        <v>27</v>
      </c>
      <c r="L51">
        <v>6</v>
      </c>
      <c r="M51">
        <v>1350.44</v>
      </c>
      <c r="N51">
        <v>20</v>
      </c>
      <c r="R51" s="21"/>
      <c r="S51">
        <v>10379</v>
      </c>
      <c r="T51">
        <v>1658</v>
      </c>
      <c r="U51" s="21">
        <v>45262</v>
      </c>
      <c r="V51" s="21">
        <v>45270</v>
      </c>
      <c r="W51" t="s">
        <v>14</v>
      </c>
      <c r="X51" t="s">
        <v>15</v>
      </c>
      <c r="Y51" t="s">
        <v>23</v>
      </c>
      <c r="Z51" t="s">
        <v>34</v>
      </c>
      <c r="AA51" t="s">
        <v>25</v>
      </c>
      <c r="AB51" t="s">
        <v>67</v>
      </c>
      <c r="AC51" t="s">
        <v>44</v>
      </c>
      <c r="AD51">
        <v>1</v>
      </c>
      <c r="AE51">
        <v>3910.66</v>
      </c>
      <c r="AF51">
        <v>5</v>
      </c>
    </row>
    <row r="52" spans="1:32">
      <c r="A52">
        <v>10052</v>
      </c>
      <c r="B52">
        <v>1562</v>
      </c>
      <c r="C52" s="21">
        <v>45097</v>
      </c>
      <c r="D52" s="21">
        <v>45098</v>
      </c>
      <c r="E52" t="s">
        <v>21</v>
      </c>
      <c r="F52" t="s">
        <v>53</v>
      </c>
      <c r="G52" t="s">
        <v>23</v>
      </c>
      <c r="H52" t="s">
        <v>34</v>
      </c>
      <c r="I52" t="s">
        <v>56</v>
      </c>
      <c r="J52" t="s">
        <v>61</v>
      </c>
      <c r="K52" t="s">
        <v>32</v>
      </c>
      <c r="L52">
        <v>3</v>
      </c>
      <c r="M52">
        <v>2668.52</v>
      </c>
      <c r="N52">
        <v>5</v>
      </c>
      <c r="R52" s="21"/>
      <c r="S52">
        <v>10386</v>
      </c>
      <c r="T52">
        <v>1119</v>
      </c>
      <c r="U52" s="21">
        <v>45146</v>
      </c>
      <c r="V52" s="21">
        <v>45154</v>
      </c>
      <c r="W52" t="s">
        <v>14</v>
      </c>
      <c r="X52" t="s">
        <v>22</v>
      </c>
      <c r="Y52" t="s">
        <v>23</v>
      </c>
      <c r="Z52" t="s">
        <v>43</v>
      </c>
      <c r="AA52" t="s">
        <v>48</v>
      </c>
      <c r="AB52" t="s">
        <v>66</v>
      </c>
      <c r="AC52" t="s">
        <v>27</v>
      </c>
      <c r="AD52">
        <v>2</v>
      </c>
      <c r="AE52">
        <v>1984.38</v>
      </c>
      <c r="AF52">
        <v>10</v>
      </c>
    </row>
    <row r="53" spans="1:32">
      <c r="A53">
        <v>10053</v>
      </c>
      <c r="B53">
        <v>1875</v>
      </c>
      <c r="C53" s="21">
        <v>45115</v>
      </c>
      <c r="D53" s="21">
        <v>45118</v>
      </c>
      <c r="E53" t="s">
        <v>45</v>
      </c>
      <c r="F53" t="s">
        <v>15</v>
      </c>
      <c r="G53" t="s">
        <v>16</v>
      </c>
      <c r="H53" t="s">
        <v>34</v>
      </c>
      <c r="I53" t="s">
        <v>51</v>
      </c>
      <c r="J53" t="s">
        <v>63</v>
      </c>
      <c r="K53" t="s">
        <v>20</v>
      </c>
      <c r="L53">
        <v>5</v>
      </c>
      <c r="M53">
        <v>2534.0700000000002</v>
      </c>
      <c r="N53">
        <v>10</v>
      </c>
      <c r="R53" s="21"/>
      <c r="S53">
        <v>10435</v>
      </c>
      <c r="T53">
        <v>1469</v>
      </c>
      <c r="U53" s="21">
        <v>45002</v>
      </c>
      <c r="V53" s="21">
        <v>45009</v>
      </c>
      <c r="W53" t="s">
        <v>14</v>
      </c>
      <c r="X53" t="s">
        <v>28</v>
      </c>
      <c r="Y53" t="s">
        <v>23</v>
      </c>
      <c r="Z53" t="s">
        <v>43</v>
      </c>
      <c r="AA53" t="s">
        <v>51</v>
      </c>
      <c r="AB53" t="s">
        <v>55</v>
      </c>
      <c r="AC53" t="s">
        <v>20</v>
      </c>
      <c r="AD53">
        <v>3</v>
      </c>
      <c r="AE53">
        <v>3644.78</v>
      </c>
      <c r="AF53">
        <v>0</v>
      </c>
    </row>
    <row r="54" spans="1:32">
      <c r="A54">
        <v>10054</v>
      </c>
      <c r="B54">
        <v>1566</v>
      </c>
      <c r="C54" s="21">
        <v>45279</v>
      </c>
      <c r="D54" s="21">
        <v>45281</v>
      </c>
      <c r="E54" t="s">
        <v>39</v>
      </c>
      <c r="F54" t="s">
        <v>22</v>
      </c>
      <c r="G54" t="s">
        <v>23</v>
      </c>
      <c r="H54" t="s">
        <v>24</v>
      </c>
      <c r="I54" t="s">
        <v>48</v>
      </c>
      <c r="J54" t="s">
        <v>49</v>
      </c>
      <c r="K54" t="s">
        <v>20</v>
      </c>
      <c r="L54">
        <v>8</v>
      </c>
      <c r="M54">
        <v>1428.62</v>
      </c>
      <c r="N54">
        <v>10</v>
      </c>
      <c r="R54" s="21"/>
      <c r="S54">
        <v>10436</v>
      </c>
      <c r="T54">
        <v>1374</v>
      </c>
      <c r="U54" s="21">
        <v>45212</v>
      </c>
      <c r="V54" s="21">
        <v>45213</v>
      </c>
      <c r="W54" t="s">
        <v>14</v>
      </c>
      <c r="X54" t="s">
        <v>22</v>
      </c>
      <c r="Y54" t="s">
        <v>29</v>
      </c>
      <c r="Z54" t="s">
        <v>17</v>
      </c>
      <c r="AA54" t="s">
        <v>51</v>
      </c>
      <c r="AB54" t="s">
        <v>59</v>
      </c>
      <c r="AC54" t="s">
        <v>20</v>
      </c>
      <c r="AD54">
        <v>3</v>
      </c>
      <c r="AE54">
        <v>3986.78</v>
      </c>
      <c r="AF54">
        <v>20</v>
      </c>
    </row>
    <row r="55" spans="1:32">
      <c r="A55">
        <v>10055</v>
      </c>
      <c r="B55">
        <v>1243</v>
      </c>
      <c r="C55" s="21">
        <v>45110</v>
      </c>
      <c r="D55" s="21">
        <v>45115</v>
      </c>
      <c r="E55" t="s">
        <v>36</v>
      </c>
      <c r="F55" t="s">
        <v>15</v>
      </c>
      <c r="G55" t="s">
        <v>23</v>
      </c>
      <c r="H55" t="s">
        <v>17</v>
      </c>
      <c r="I55" t="s">
        <v>51</v>
      </c>
      <c r="J55" t="s">
        <v>63</v>
      </c>
      <c r="K55" t="s">
        <v>44</v>
      </c>
      <c r="L55">
        <v>2</v>
      </c>
      <c r="M55">
        <v>3723.19</v>
      </c>
      <c r="N55">
        <v>5</v>
      </c>
      <c r="R55" s="21"/>
      <c r="S55">
        <v>10442</v>
      </c>
      <c r="T55">
        <v>1364</v>
      </c>
      <c r="U55" s="21">
        <v>45089</v>
      </c>
      <c r="V55" s="21">
        <v>45094</v>
      </c>
      <c r="W55" t="s">
        <v>14</v>
      </c>
      <c r="X55" t="s">
        <v>22</v>
      </c>
      <c r="Y55" t="s">
        <v>23</v>
      </c>
      <c r="Z55" t="s">
        <v>34</v>
      </c>
      <c r="AA55" t="s">
        <v>56</v>
      </c>
      <c r="AB55" t="s">
        <v>57</v>
      </c>
      <c r="AC55" t="s">
        <v>44</v>
      </c>
      <c r="AD55">
        <v>9</v>
      </c>
      <c r="AE55">
        <v>2969.7</v>
      </c>
      <c r="AF55">
        <v>10</v>
      </c>
    </row>
    <row r="56" spans="1:32">
      <c r="A56">
        <v>10056</v>
      </c>
      <c r="B56">
        <v>1831</v>
      </c>
      <c r="C56" s="21">
        <v>44929</v>
      </c>
      <c r="D56" s="21">
        <v>44934</v>
      </c>
      <c r="E56" t="s">
        <v>36</v>
      </c>
      <c r="F56" t="s">
        <v>28</v>
      </c>
      <c r="G56" t="s">
        <v>16</v>
      </c>
      <c r="H56" t="s">
        <v>41</v>
      </c>
      <c r="I56" t="s">
        <v>56</v>
      </c>
      <c r="J56" t="s">
        <v>61</v>
      </c>
      <c r="K56" t="s">
        <v>44</v>
      </c>
      <c r="L56">
        <v>6</v>
      </c>
      <c r="M56">
        <v>3402.72</v>
      </c>
      <c r="N56">
        <v>15</v>
      </c>
      <c r="R56" s="21"/>
      <c r="S56">
        <v>10455</v>
      </c>
      <c r="T56">
        <v>1480</v>
      </c>
      <c r="U56" s="21">
        <v>45034</v>
      </c>
      <c r="V56" s="21">
        <v>45036</v>
      </c>
      <c r="W56" t="s">
        <v>14</v>
      </c>
      <c r="X56" t="s">
        <v>28</v>
      </c>
      <c r="Y56" t="s">
        <v>16</v>
      </c>
      <c r="Z56" t="s">
        <v>17</v>
      </c>
      <c r="AA56" t="s">
        <v>51</v>
      </c>
      <c r="AB56" t="s">
        <v>63</v>
      </c>
      <c r="AC56" t="s">
        <v>44</v>
      </c>
      <c r="AD56">
        <v>2</v>
      </c>
      <c r="AE56">
        <v>1374.23</v>
      </c>
      <c r="AF56">
        <v>0</v>
      </c>
    </row>
    <row r="57" spans="1:32">
      <c r="A57">
        <v>10057</v>
      </c>
      <c r="B57">
        <v>1504</v>
      </c>
      <c r="C57" s="21">
        <v>45117</v>
      </c>
      <c r="D57" s="21">
        <v>45122</v>
      </c>
      <c r="E57" t="s">
        <v>36</v>
      </c>
      <c r="F57" t="s">
        <v>28</v>
      </c>
      <c r="G57" t="s">
        <v>16</v>
      </c>
      <c r="H57" t="s">
        <v>24</v>
      </c>
      <c r="I57" t="s">
        <v>56</v>
      </c>
      <c r="J57" t="s">
        <v>57</v>
      </c>
      <c r="K57" t="s">
        <v>32</v>
      </c>
      <c r="L57">
        <v>9</v>
      </c>
      <c r="M57">
        <v>1012.33</v>
      </c>
      <c r="N57">
        <v>20</v>
      </c>
      <c r="R57" s="21"/>
      <c r="S57">
        <v>10472</v>
      </c>
      <c r="T57">
        <v>1517</v>
      </c>
      <c r="U57" s="21">
        <v>45269</v>
      </c>
      <c r="V57" s="21">
        <v>45278</v>
      </c>
      <c r="W57" t="s">
        <v>14</v>
      </c>
      <c r="X57" t="s">
        <v>53</v>
      </c>
      <c r="Y57" t="s">
        <v>29</v>
      </c>
      <c r="Z57" t="s">
        <v>34</v>
      </c>
      <c r="AA57" t="s">
        <v>30</v>
      </c>
      <c r="AB57" t="s">
        <v>47</v>
      </c>
      <c r="AC57" t="s">
        <v>27</v>
      </c>
      <c r="AD57">
        <v>5</v>
      </c>
      <c r="AE57">
        <v>2523.25</v>
      </c>
      <c r="AF57">
        <v>10</v>
      </c>
    </row>
    <row r="58" spans="1:32">
      <c r="A58">
        <v>10059</v>
      </c>
      <c r="B58">
        <v>1484</v>
      </c>
      <c r="C58" s="21">
        <v>44945</v>
      </c>
      <c r="D58" s="21">
        <v>44950</v>
      </c>
      <c r="E58" t="s">
        <v>39</v>
      </c>
      <c r="F58" t="s">
        <v>40</v>
      </c>
      <c r="G58" t="s">
        <v>23</v>
      </c>
      <c r="H58" t="s">
        <v>41</v>
      </c>
      <c r="I58" t="s">
        <v>51</v>
      </c>
      <c r="J58" t="s">
        <v>63</v>
      </c>
      <c r="K58" t="s">
        <v>32</v>
      </c>
      <c r="L58">
        <v>8</v>
      </c>
      <c r="M58">
        <v>2122.36</v>
      </c>
      <c r="N58">
        <v>0</v>
      </c>
      <c r="R58" s="21"/>
      <c r="S58">
        <v>10490</v>
      </c>
      <c r="T58">
        <v>1927</v>
      </c>
      <c r="U58" s="21">
        <v>45259</v>
      </c>
      <c r="V58" s="21">
        <v>45261</v>
      </c>
      <c r="W58" t="s">
        <v>14</v>
      </c>
      <c r="X58" t="s">
        <v>28</v>
      </c>
      <c r="Y58" t="s">
        <v>16</v>
      </c>
      <c r="Z58" t="s">
        <v>34</v>
      </c>
      <c r="AA58" t="s">
        <v>30</v>
      </c>
      <c r="AB58" t="s">
        <v>31</v>
      </c>
      <c r="AC58" t="s">
        <v>44</v>
      </c>
      <c r="AD58">
        <v>7</v>
      </c>
      <c r="AE58">
        <v>2838.06</v>
      </c>
      <c r="AF58">
        <v>20</v>
      </c>
    </row>
    <row r="59" spans="1:32">
      <c r="A59">
        <v>10060</v>
      </c>
      <c r="B59">
        <v>1818</v>
      </c>
      <c r="C59" s="21">
        <v>44949</v>
      </c>
      <c r="D59" s="21">
        <v>44952</v>
      </c>
      <c r="E59" t="s">
        <v>45</v>
      </c>
      <c r="F59" t="s">
        <v>40</v>
      </c>
      <c r="G59" t="s">
        <v>29</v>
      </c>
      <c r="H59" t="s">
        <v>41</v>
      </c>
      <c r="I59" t="s">
        <v>56</v>
      </c>
      <c r="J59" t="s">
        <v>61</v>
      </c>
      <c r="K59" t="s">
        <v>44</v>
      </c>
      <c r="L59">
        <v>8</v>
      </c>
      <c r="M59">
        <v>3128.25</v>
      </c>
      <c r="N59">
        <v>15</v>
      </c>
      <c r="R59" s="21"/>
      <c r="S59">
        <v>10495</v>
      </c>
      <c r="T59">
        <v>1127</v>
      </c>
      <c r="U59" s="21">
        <v>45060</v>
      </c>
      <c r="V59" s="21">
        <v>45063</v>
      </c>
      <c r="W59" t="s">
        <v>14</v>
      </c>
      <c r="X59" t="s">
        <v>22</v>
      </c>
      <c r="Y59" t="s">
        <v>29</v>
      </c>
      <c r="Z59" t="s">
        <v>24</v>
      </c>
      <c r="AA59" t="s">
        <v>56</v>
      </c>
      <c r="AB59" t="s">
        <v>58</v>
      </c>
      <c r="AC59" t="s">
        <v>44</v>
      </c>
      <c r="AD59">
        <v>8</v>
      </c>
      <c r="AE59">
        <v>598.44000000000005</v>
      </c>
      <c r="AF59">
        <v>0</v>
      </c>
    </row>
    <row r="60" spans="1:32">
      <c r="A60">
        <v>10061</v>
      </c>
      <c r="B60">
        <v>1646</v>
      </c>
      <c r="C60" s="21">
        <v>44956</v>
      </c>
      <c r="D60" s="21">
        <v>44957</v>
      </c>
      <c r="E60" t="s">
        <v>36</v>
      </c>
      <c r="F60" t="s">
        <v>53</v>
      </c>
      <c r="G60" t="s">
        <v>23</v>
      </c>
      <c r="H60" t="s">
        <v>41</v>
      </c>
      <c r="I60" t="s">
        <v>25</v>
      </c>
      <c r="J60" t="s">
        <v>35</v>
      </c>
      <c r="K60" t="s">
        <v>44</v>
      </c>
      <c r="L60">
        <v>7</v>
      </c>
      <c r="M60">
        <v>319.56</v>
      </c>
      <c r="N60">
        <v>10</v>
      </c>
      <c r="R60" s="21"/>
      <c r="S60">
        <v>10496</v>
      </c>
      <c r="T60">
        <v>1017</v>
      </c>
      <c r="U60" s="21">
        <v>45177</v>
      </c>
      <c r="V60" s="21">
        <v>45178</v>
      </c>
      <c r="W60" t="s">
        <v>14</v>
      </c>
      <c r="X60" t="s">
        <v>22</v>
      </c>
      <c r="Y60" t="s">
        <v>16</v>
      </c>
      <c r="Z60" t="s">
        <v>41</v>
      </c>
      <c r="AA60" t="s">
        <v>51</v>
      </c>
      <c r="AB60" t="s">
        <v>59</v>
      </c>
      <c r="AC60" t="s">
        <v>44</v>
      </c>
      <c r="AD60">
        <v>6</v>
      </c>
      <c r="AE60">
        <v>1128.9100000000001</v>
      </c>
      <c r="AF60">
        <v>20</v>
      </c>
    </row>
    <row r="61" spans="1:32">
      <c r="A61">
        <v>10063</v>
      </c>
      <c r="B61">
        <v>1840</v>
      </c>
      <c r="C61" s="21">
        <v>45034</v>
      </c>
      <c r="D61" s="21">
        <v>45043</v>
      </c>
      <c r="E61" t="s">
        <v>39</v>
      </c>
      <c r="F61" t="s">
        <v>22</v>
      </c>
      <c r="G61" t="s">
        <v>29</v>
      </c>
      <c r="H61" t="s">
        <v>41</v>
      </c>
      <c r="I61" t="s">
        <v>56</v>
      </c>
      <c r="J61" t="s">
        <v>61</v>
      </c>
      <c r="K61" t="s">
        <v>27</v>
      </c>
      <c r="L61">
        <v>6</v>
      </c>
      <c r="M61">
        <v>2645.71</v>
      </c>
      <c r="N61">
        <v>10</v>
      </c>
      <c r="R61" s="21"/>
      <c r="S61">
        <v>10500</v>
      </c>
      <c r="T61">
        <v>1569</v>
      </c>
      <c r="U61" s="21">
        <v>44972</v>
      </c>
      <c r="V61" s="21">
        <v>44977</v>
      </c>
      <c r="W61" t="s">
        <v>14</v>
      </c>
      <c r="X61" t="s">
        <v>15</v>
      </c>
      <c r="Y61" t="s">
        <v>29</v>
      </c>
      <c r="Z61" t="s">
        <v>41</v>
      </c>
      <c r="AA61" t="s">
        <v>30</v>
      </c>
      <c r="AB61" t="s">
        <v>64</v>
      </c>
      <c r="AC61" t="s">
        <v>32</v>
      </c>
      <c r="AD61">
        <v>1</v>
      </c>
      <c r="AE61">
        <v>2432.17</v>
      </c>
      <c r="AF61">
        <v>20</v>
      </c>
    </row>
    <row r="62" spans="1:32">
      <c r="A62">
        <v>10064</v>
      </c>
      <c r="B62">
        <v>1166</v>
      </c>
      <c r="C62" s="21">
        <v>45207</v>
      </c>
      <c r="D62" s="21">
        <v>45216</v>
      </c>
      <c r="E62" t="s">
        <v>39</v>
      </c>
      <c r="F62" t="s">
        <v>15</v>
      </c>
      <c r="G62" t="s">
        <v>29</v>
      </c>
      <c r="H62" t="s">
        <v>17</v>
      </c>
      <c r="I62" t="s">
        <v>25</v>
      </c>
      <c r="J62" t="s">
        <v>35</v>
      </c>
      <c r="K62" t="s">
        <v>46</v>
      </c>
      <c r="L62">
        <v>2</v>
      </c>
      <c r="M62">
        <v>1041.2</v>
      </c>
      <c r="N62">
        <v>15</v>
      </c>
      <c r="R62" s="21"/>
      <c r="U62" s="21"/>
      <c r="V62" s="21"/>
    </row>
    <row r="63" spans="1:32">
      <c r="A63">
        <v>10065</v>
      </c>
      <c r="B63">
        <v>1273</v>
      </c>
      <c r="C63" s="21">
        <v>45054</v>
      </c>
      <c r="D63" s="21">
        <v>45058</v>
      </c>
      <c r="E63" t="s">
        <v>14</v>
      </c>
      <c r="F63" t="s">
        <v>37</v>
      </c>
      <c r="G63" t="s">
        <v>16</v>
      </c>
      <c r="H63" t="s">
        <v>41</v>
      </c>
      <c r="I63" t="s">
        <v>18</v>
      </c>
      <c r="J63" t="s">
        <v>42</v>
      </c>
      <c r="K63" t="s">
        <v>44</v>
      </c>
      <c r="L63">
        <v>2</v>
      </c>
      <c r="M63">
        <v>2773.21</v>
      </c>
      <c r="N63">
        <v>10</v>
      </c>
      <c r="R63" s="21"/>
      <c r="U63" s="21"/>
      <c r="V63" s="21"/>
    </row>
    <row r="64" spans="1:32">
      <c r="A64">
        <v>10066</v>
      </c>
      <c r="B64">
        <v>1387</v>
      </c>
      <c r="C64" s="21">
        <v>45155</v>
      </c>
      <c r="D64" s="21">
        <v>45158</v>
      </c>
      <c r="E64" t="s">
        <v>14</v>
      </c>
      <c r="F64" t="s">
        <v>22</v>
      </c>
      <c r="G64" t="s">
        <v>16</v>
      </c>
      <c r="H64" t="s">
        <v>34</v>
      </c>
      <c r="I64" t="s">
        <v>56</v>
      </c>
      <c r="J64" t="s">
        <v>65</v>
      </c>
      <c r="K64" t="s">
        <v>44</v>
      </c>
      <c r="L64">
        <v>8</v>
      </c>
      <c r="M64">
        <v>3769.71</v>
      </c>
      <c r="N64">
        <v>5</v>
      </c>
      <c r="R64" s="21"/>
      <c r="U64" s="21"/>
      <c r="V64" s="21"/>
    </row>
    <row r="65" spans="1:22">
      <c r="A65">
        <v>10067</v>
      </c>
      <c r="B65">
        <v>1600</v>
      </c>
      <c r="C65" s="21">
        <v>45037</v>
      </c>
      <c r="D65" s="21">
        <v>45038</v>
      </c>
      <c r="E65" t="s">
        <v>15</v>
      </c>
      <c r="F65" t="s">
        <v>40</v>
      </c>
      <c r="G65" t="s">
        <v>23</v>
      </c>
      <c r="H65" t="s">
        <v>41</v>
      </c>
      <c r="I65" t="s">
        <v>51</v>
      </c>
      <c r="J65" t="s">
        <v>63</v>
      </c>
      <c r="K65" t="s">
        <v>27</v>
      </c>
      <c r="L65">
        <v>1</v>
      </c>
      <c r="M65">
        <v>330.13</v>
      </c>
      <c r="N65">
        <v>15</v>
      </c>
      <c r="R65" s="21"/>
      <c r="U65" s="21"/>
      <c r="V65" s="21"/>
    </row>
    <row r="66" spans="1:22">
      <c r="A66">
        <v>10068</v>
      </c>
      <c r="B66">
        <v>1315</v>
      </c>
      <c r="C66" s="21">
        <v>45062</v>
      </c>
      <c r="D66" s="21">
        <v>45064</v>
      </c>
      <c r="E66" t="s">
        <v>33</v>
      </c>
      <c r="F66" t="s">
        <v>40</v>
      </c>
      <c r="G66" t="s">
        <v>29</v>
      </c>
      <c r="H66" t="s">
        <v>43</v>
      </c>
      <c r="I66" t="s">
        <v>30</v>
      </c>
      <c r="J66" t="s">
        <v>47</v>
      </c>
      <c r="K66" t="s">
        <v>27</v>
      </c>
      <c r="L66">
        <v>6</v>
      </c>
      <c r="M66">
        <v>1380.66</v>
      </c>
      <c r="N66">
        <v>0</v>
      </c>
      <c r="R66" s="21"/>
      <c r="U66" s="21"/>
      <c r="V66" s="21"/>
    </row>
    <row r="67" spans="1:22">
      <c r="A67">
        <v>10069</v>
      </c>
      <c r="B67">
        <v>1013</v>
      </c>
      <c r="C67" s="21">
        <v>45288</v>
      </c>
      <c r="D67" s="21">
        <v>45296</v>
      </c>
      <c r="E67" t="s">
        <v>14</v>
      </c>
      <c r="F67" t="s">
        <v>22</v>
      </c>
      <c r="G67" t="s">
        <v>16</v>
      </c>
      <c r="H67" t="s">
        <v>43</v>
      </c>
      <c r="I67" t="s">
        <v>56</v>
      </c>
      <c r="J67" t="s">
        <v>61</v>
      </c>
      <c r="K67" t="s">
        <v>32</v>
      </c>
      <c r="L67">
        <v>6</v>
      </c>
      <c r="M67">
        <v>1836.98</v>
      </c>
      <c r="N67">
        <v>5</v>
      </c>
      <c r="R67" s="21"/>
      <c r="U67" s="21"/>
      <c r="V67" s="21"/>
    </row>
    <row r="68" spans="1:22">
      <c r="A68">
        <v>10070</v>
      </c>
      <c r="B68">
        <v>1241</v>
      </c>
      <c r="C68" s="21">
        <v>45112</v>
      </c>
      <c r="D68" s="21">
        <v>45113</v>
      </c>
      <c r="E68" t="s">
        <v>45</v>
      </c>
      <c r="F68" t="s">
        <v>40</v>
      </c>
      <c r="G68" t="s">
        <v>16</v>
      </c>
      <c r="H68" t="s">
        <v>34</v>
      </c>
      <c r="I68" t="s">
        <v>30</v>
      </c>
      <c r="J68" t="s">
        <v>38</v>
      </c>
      <c r="K68" t="s">
        <v>32</v>
      </c>
      <c r="L68">
        <v>4</v>
      </c>
      <c r="M68">
        <v>3612.15</v>
      </c>
      <c r="N68">
        <v>20</v>
      </c>
      <c r="R68" s="21"/>
      <c r="U68" s="21"/>
      <c r="V68" s="21"/>
    </row>
    <row r="69" spans="1:22">
      <c r="A69">
        <v>10071</v>
      </c>
      <c r="B69">
        <v>1776</v>
      </c>
      <c r="C69" s="21">
        <v>45070</v>
      </c>
      <c r="D69" s="21">
        <v>45078</v>
      </c>
      <c r="E69" t="s">
        <v>14</v>
      </c>
      <c r="F69" t="s">
        <v>28</v>
      </c>
      <c r="G69" t="s">
        <v>16</v>
      </c>
      <c r="H69" t="s">
        <v>17</v>
      </c>
      <c r="I69" t="s">
        <v>25</v>
      </c>
      <c r="J69" t="s">
        <v>60</v>
      </c>
      <c r="K69" t="s">
        <v>46</v>
      </c>
      <c r="L69">
        <v>3</v>
      </c>
      <c r="M69">
        <v>3854.71</v>
      </c>
      <c r="N69">
        <v>5</v>
      </c>
      <c r="U69" s="21"/>
      <c r="V69" s="21"/>
    </row>
    <row r="70" spans="1:22">
      <c r="A70">
        <v>10072</v>
      </c>
      <c r="B70">
        <v>1345</v>
      </c>
      <c r="C70" s="21">
        <v>44998</v>
      </c>
      <c r="D70" s="21">
        <v>45005</v>
      </c>
      <c r="E70" t="s">
        <v>15</v>
      </c>
      <c r="F70" t="s">
        <v>53</v>
      </c>
      <c r="G70" t="s">
        <v>16</v>
      </c>
      <c r="H70" t="s">
        <v>17</v>
      </c>
      <c r="I70" t="s">
        <v>18</v>
      </c>
      <c r="J70" t="s">
        <v>54</v>
      </c>
      <c r="K70" t="s">
        <v>46</v>
      </c>
      <c r="L70">
        <v>3</v>
      </c>
      <c r="M70">
        <v>1859.84</v>
      </c>
      <c r="N70">
        <v>15</v>
      </c>
      <c r="U70" s="21"/>
      <c r="V70" s="21"/>
    </row>
    <row r="71" spans="1:22">
      <c r="A71">
        <v>10073</v>
      </c>
      <c r="B71">
        <v>1564</v>
      </c>
      <c r="C71" s="21">
        <v>45055</v>
      </c>
      <c r="D71" s="21">
        <v>45063</v>
      </c>
      <c r="E71" t="s">
        <v>39</v>
      </c>
      <c r="F71" t="s">
        <v>15</v>
      </c>
      <c r="G71" t="s">
        <v>16</v>
      </c>
      <c r="H71" t="s">
        <v>24</v>
      </c>
      <c r="I71" t="s">
        <v>48</v>
      </c>
      <c r="J71" t="s">
        <v>66</v>
      </c>
      <c r="K71" t="s">
        <v>20</v>
      </c>
      <c r="L71">
        <v>1</v>
      </c>
      <c r="M71">
        <v>3037.61</v>
      </c>
      <c r="N71">
        <v>5</v>
      </c>
      <c r="U71" s="21"/>
      <c r="V71" s="21"/>
    </row>
    <row r="72" spans="1:22">
      <c r="A72">
        <v>10074</v>
      </c>
      <c r="B72">
        <v>1897</v>
      </c>
      <c r="C72" s="21">
        <v>45290</v>
      </c>
      <c r="D72" s="21">
        <v>45296</v>
      </c>
      <c r="E72" t="s">
        <v>15</v>
      </c>
      <c r="F72" t="s">
        <v>53</v>
      </c>
      <c r="G72" t="s">
        <v>29</v>
      </c>
      <c r="H72" t="s">
        <v>34</v>
      </c>
      <c r="I72" t="s">
        <v>18</v>
      </c>
      <c r="J72" t="s">
        <v>42</v>
      </c>
      <c r="K72" t="s">
        <v>32</v>
      </c>
      <c r="L72">
        <v>3</v>
      </c>
      <c r="M72">
        <v>2196.89</v>
      </c>
      <c r="N72">
        <v>0</v>
      </c>
      <c r="U72" s="21"/>
      <c r="V72" s="21"/>
    </row>
    <row r="73" spans="1:22">
      <c r="A73">
        <v>10075</v>
      </c>
      <c r="B73">
        <v>1339</v>
      </c>
      <c r="C73" s="21">
        <v>45187</v>
      </c>
      <c r="D73" s="21">
        <v>45196</v>
      </c>
      <c r="E73" t="s">
        <v>39</v>
      </c>
      <c r="F73" t="s">
        <v>15</v>
      </c>
      <c r="G73" t="s">
        <v>29</v>
      </c>
      <c r="H73" t="s">
        <v>41</v>
      </c>
      <c r="I73" t="s">
        <v>56</v>
      </c>
      <c r="J73" t="s">
        <v>57</v>
      </c>
      <c r="K73" t="s">
        <v>44</v>
      </c>
      <c r="L73">
        <v>4</v>
      </c>
      <c r="M73">
        <v>2220.46</v>
      </c>
      <c r="N73">
        <v>0</v>
      </c>
      <c r="U73" s="21"/>
      <c r="V73" s="21"/>
    </row>
    <row r="74" spans="1:22">
      <c r="A74">
        <v>10076</v>
      </c>
      <c r="B74">
        <v>1091</v>
      </c>
      <c r="C74" s="21">
        <v>44929</v>
      </c>
      <c r="D74" s="21">
        <v>44932</v>
      </c>
      <c r="E74" t="s">
        <v>21</v>
      </c>
      <c r="F74" t="s">
        <v>15</v>
      </c>
      <c r="G74" t="s">
        <v>29</v>
      </c>
      <c r="H74" t="s">
        <v>34</v>
      </c>
      <c r="I74" t="s">
        <v>30</v>
      </c>
      <c r="J74" t="s">
        <v>38</v>
      </c>
      <c r="K74" t="s">
        <v>32</v>
      </c>
      <c r="L74">
        <v>5</v>
      </c>
      <c r="M74">
        <v>1220.68</v>
      </c>
      <c r="N74">
        <v>20</v>
      </c>
      <c r="U74" s="21"/>
      <c r="V74" s="21"/>
    </row>
    <row r="75" spans="1:22">
      <c r="A75">
        <v>10077</v>
      </c>
      <c r="B75">
        <v>1366</v>
      </c>
      <c r="C75" s="21">
        <v>45030</v>
      </c>
      <c r="D75" s="21">
        <v>45034</v>
      </c>
      <c r="E75" t="s">
        <v>21</v>
      </c>
      <c r="F75" t="s">
        <v>53</v>
      </c>
      <c r="G75" t="s">
        <v>29</v>
      </c>
      <c r="H75" t="s">
        <v>24</v>
      </c>
      <c r="I75" t="s">
        <v>30</v>
      </c>
      <c r="J75" t="s">
        <v>31</v>
      </c>
      <c r="K75" t="s">
        <v>44</v>
      </c>
      <c r="L75">
        <v>3</v>
      </c>
      <c r="M75">
        <v>985.28</v>
      </c>
      <c r="N75">
        <v>10</v>
      </c>
      <c r="U75" s="21"/>
      <c r="V75" s="21"/>
    </row>
    <row r="76" spans="1:22">
      <c r="A76">
        <v>10079</v>
      </c>
      <c r="B76">
        <v>1454</v>
      </c>
      <c r="C76" s="21">
        <v>45246</v>
      </c>
      <c r="D76" s="21">
        <v>45254</v>
      </c>
      <c r="E76" t="s">
        <v>33</v>
      </c>
      <c r="F76" t="s">
        <v>15</v>
      </c>
      <c r="G76" t="s">
        <v>29</v>
      </c>
      <c r="H76" t="s">
        <v>34</v>
      </c>
      <c r="I76" t="s">
        <v>30</v>
      </c>
      <c r="J76" t="s">
        <v>31</v>
      </c>
      <c r="K76" t="s">
        <v>32</v>
      </c>
      <c r="L76">
        <v>5</v>
      </c>
      <c r="M76">
        <v>2291.86</v>
      </c>
      <c r="N76">
        <v>15</v>
      </c>
      <c r="U76" s="21"/>
      <c r="V76" s="21"/>
    </row>
    <row r="77" spans="1:22">
      <c r="A77">
        <v>10080</v>
      </c>
      <c r="B77">
        <v>1427</v>
      </c>
      <c r="C77" s="21">
        <v>45288</v>
      </c>
      <c r="D77" s="21">
        <v>45293</v>
      </c>
      <c r="E77" t="s">
        <v>14</v>
      </c>
      <c r="F77" t="s">
        <v>53</v>
      </c>
      <c r="G77" t="s">
        <v>16</v>
      </c>
      <c r="H77" t="s">
        <v>24</v>
      </c>
      <c r="I77" t="s">
        <v>51</v>
      </c>
      <c r="J77" t="s">
        <v>55</v>
      </c>
      <c r="K77" t="s">
        <v>27</v>
      </c>
      <c r="L77">
        <v>3</v>
      </c>
      <c r="M77">
        <v>262.25</v>
      </c>
      <c r="N77">
        <v>10</v>
      </c>
      <c r="U77" s="21"/>
      <c r="V77" s="21"/>
    </row>
    <row r="78" spans="1:22">
      <c r="A78">
        <v>10081</v>
      </c>
      <c r="B78">
        <v>1508</v>
      </c>
      <c r="C78" s="21">
        <v>45280</v>
      </c>
      <c r="D78" s="21">
        <v>45283</v>
      </c>
      <c r="E78" t="s">
        <v>45</v>
      </c>
      <c r="F78" t="s">
        <v>15</v>
      </c>
      <c r="G78" t="s">
        <v>29</v>
      </c>
      <c r="H78" t="s">
        <v>17</v>
      </c>
      <c r="I78" t="s">
        <v>25</v>
      </c>
      <c r="J78" t="s">
        <v>26</v>
      </c>
      <c r="K78" t="s">
        <v>46</v>
      </c>
      <c r="L78">
        <v>6</v>
      </c>
      <c r="M78">
        <v>3642.91</v>
      </c>
      <c r="N78">
        <v>0</v>
      </c>
      <c r="U78" s="21"/>
      <c r="V78" s="21"/>
    </row>
    <row r="79" spans="1:22">
      <c r="A79">
        <v>10082</v>
      </c>
      <c r="B79">
        <v>1775</v>
      </c>
      <c r="C79" s="21">
        <v>44936</v>
      </c>
      <c r="D79" s="21">
        <v>44942</v>
      </c>
      <c r="E79" t="s">
        <v>45</v>
      </c>
      <c r="F79" t="s">
        <v>37</v>
      </c>
      <c r="G79" t="s">
        <v>23</v>
      </c>
      <c r="H79" t="s">
        <v>41</v>
      </c>
      <c r="I79" t="s">
        <v>48</v>
      </c>
      <c r="J79" t="s">
        <v>62</v>
      </c>
      <c r="K79" t="s">
        <v>46</v>
      </c>
      <c r="L79">
        <v>6</v>
      </c>
      <c r="M79">
        <v>751.69</v>
      </c>
      <c r="N79">
        <v>0</v>
      </c>
      <c r="U79" s="21"/>
      <c r="V79" s="21"/>
    </row>
    <row r="80" spans="1:22">
      <c r="A80">
        <v>10083</v>
      </c>
      <c r="B80">
        <v>1942</v>
      </c>
      <c r="C80" s="21">
        <v>45228</v>
      </c>
      <c r="D80" s="21">
        <v>45232</v>
      </c>
      <c r="E80" t="s">
        <v>36</v>
      </c>
      <c r="F80" t="s">
        <v>22</v>
      </c>
      <c r="G80" t="s">
        <v>16</v>
      </c>
      <c r="H80" t="s">
        <v>24</v>
      </c>
      <c r="I80" t="s">
        <v>56</v>
      </c>
      <c r="J80" t="s">
        <v>61</v>
      </c>
      <c r="K80" t="s">
        <v>20</v>
      </c>
      <c r="L80">
        <v>8</v>
      </c>
      <c r="M80">
        <v>997.34</v>
      </c>
      <c r="N80">
        <v>5</v>
      </c>
      <c r="U80" s="21"/>
      <c r="V80" s="21"/>
    </row>
    <row r="81" spans="1:22">
      <c r="A81">
        <v>10084</v>
      </c>
      <c r="B81">
        <v>1034</v>
      </c>
      <c r="C81" s="21">
        <v>45157</v>
      </c>
      <c r="D81" s="21">
        <v>45166</v>
      </c>
      <c r="E81" t="s">
        <v>39</v>
      </c>
      <c r="F81" t="s">
        <v>28</v>
      </c>
      <c r="G81" t="s">
        <v>29</v>
      </c>
      <c r="H81" t="s">
        <v>43</v>
      </c>
      <c r="I81" t="s">
        <v>51</v>
      </c>
      <c r="J81" t="s">
        <v>55</v>
      </c>
      <c r="K81" t="s">
        <v>32</v>
      </c>
      <c r="L81">
        <v>2</v>
      </c>
      <c r="M81">
        <v>2145.36</v>
      </c>
      <c r="N81">
        <v>20</v>
      </c>
      <c r="U81" s="21"/>
      <c r="V81" s="21"/>
    </row>
    <row r="82" spans="1:22">
      <c r="A82">
        <v>10085</v>
      </c>
      <c r="B82">
        <v>1205</v>
      </c>
      <c r="C82" s="21">
        <v>45145</v>
      </c>
      <c r="D82" s="21">
        <v>45148</v>
      </c>
      <c r="E82" t="s">
        <v>45</v>
      </c>
      <c r="F82" t="s">
        <v>15</v>
      </c>
      <c r="G82" t="s">
        <v>29</v>
      </c>
      <c r="H82" t="s">
        <v>17</v>
      </c>
      <c r="I82" t="s">
        <v>48</v>
      </c>
      <c r="J82" t="s">
        <v>49</v>
      </c>
      <c r="K82" t="s">
        <v>27</v>
      </c>
      <c r="L82">
        <v>1</v>
      </c>
      <c r="M82">
        <v>2883.94</v>
      </c>
      <c r="N82">
        <v>20</v>
      </c>
      <c r="U82" s="21"/>
      <c r="V82" s="21"/>
    </row>
    <row r="83" spans="1:22">
      <c r="A83">
        <v>10086</v>
      </c>
      <c r="B83">
        <v>1080</v>
      </c>
      <c r="C83" s="21">
        <v>44992</v>
      </c>
      <c r="D83" s="21">
        <v>44996</v>
      </c>
      <c r="E83" t="s">
        <v>33</v>
      </c>
      <c r="F83" t="s">
        <v>37</v>
      </c>
      <c r="G83" t="s">
        <v>29</v>
      </c>
      <c r="H83" t="s">
        <v>43</v>
      </c>
      <c r="I83" t="s">
        <v>30</v>
      </c>
      <c r="J83" t="s">
        <v>64</v>
      </c>
      <c r="K83" t="s">
        <v>44</v>
      </c>
      <c r="L83">
        <v>4</v>
      </c>
      <c r="M83">
        <v>518.55999999999995</v>
      </c>
      <c r="N83">
        <v>20</v>
      </c>
      <c r="U83" s="21"/>
      <c r="V83" s="21"/>
    </row>
    <row r="84" spans="1:22">
      <c r="A84">
        <v>10087</v>
      </c>
      <c r="B84">
        <v>1931</v>
      </c>
      <c r="C84" s="21">
        <v>45038</v>
      </c>
      <c r="D84" s="21">
        <v>45045</v>
      </c>
      <c r="E84" t="s">
        <v>39</v>
      </c>
      <c r="F84" t="s">
        <v>28</v>
      </c>
      <c r="G84" t="s">
        <v>16</v>
      </c>
      <c r="H84" t="s">
        <v>17</v>
      </c>
      <c r="I84" t="s">
        <v>30</v>
      </c>
      <c r="J84" t="s">
        <v>38</v>
      </c>
      <c r="K84" t="s">
        <v>46</v>
      </c>
      <c r="L84">
        <v>7</v>
      </c>
      <c r="M84">
        <v>1373.12</v>
      </c>
      <c r="N84">
        <v>5</v>
      </c>
      <c r="U84" s="21"/>
      <c r="V84" s="21"/>
    </row>
    <row r="85" spans="1:22">
      <c r="A85">
        <v>10088</v>
      </c>
      <c r="B85">
        <v>1561</v>
      </c>
      <c r="C85" s="21">
        <v>44939</v>
      </c>
      <c r="D85" s="21">
        <v>44946</v>
      </c>
      <c r="E85" t="s">
        <v>33</v>
      </c>
      <c r="F85" t="s">
        <v>28</v>
      </c>
      <c r="G85" t="s">
        <v>16</v>
      </c>
      <c r="H85" t="s">
        <v>41</v>
      </c>
      <c r="I85" t="s">
        <v>48</v>
      </c>
      <c r="J85" t="s">
        <v>62</v>
      </c>
      <c r="K85" t="s">
        <v>46</v>
      </c>
      <c r="L85">
        <v>3</v>
      </c>
      <c r="M85">
        <v>3879.4</v>
      </c>
      <c r="N85">
        <v>20</v>
      </c>
      <c r="U85" s="21"/>
      <c r="V85" s="21"/>
    </row>
    <row r="86" spans="1:22">
      <c r="A86">
        <v>10091</v>
      </c>
      <c r="B86">
        <v>1001</v>
      </c>
      <c r="C86" s="21">
        <v>45016</v>
      </c>
      <c r="D86" s="21">
        <v>45019</v>
      </c>
      <c r="E86" t="s">
        <v>36</v>
      </c>
      <c r="F86" t="s">
        <v>15</v>
      </c>
      <c r="G86" t="s">
        <v>16</v>
      </c>
      <c r="H86" t="s">
        <v>43</v>
      </c>
      <c r="I86" t="s">
        <v>25</v>
      </c>
      <c r="J86" t="s">
        <v>26</v>
      </c>
      <c r="K86" t="s">
        <v>27</v>
      </c>
      <c r="L86">
        <v>5</v>
      </c>
      <c r="M86">
        <v>3370.52</v>
      </c>
      <c r="N86">
        <v>10</v>
      </c>
      <c r="U86" s="21"/>
      <c r="V86" s="21"/>
    </row>
    <row r="87" spans="1:22">
      <c r="A87">
        <v>10092</v>
      </c>
      <c r="B87">
        <v>1389</v>
      </c>
      <c r="C87" s="21">
        <v>45240</v>
      </c>
      <c r="D87" s="21">
        <v>45246</v>
      </c>
      <c r="E87" t="s">
        <v>45</v>
      </c>
      <c r="F87" t="s">
        <v>37</v>
      </c>
      <c r="G87" t="s">
        <v>29</v>
      </c>
      <c r="H87" t="s">
        <v>17</v>
      </c>
      <c r="I87" t="s">
        <v>48</v>
      </c>
      <c r="J87" t="s">
        <v>49</v>
      </c>
      <c r="K87" t="s">
        <v>32</v>
      </c>
      <c r="L87">
        <v>3</v>
      </c>
      <c r="M87">
        <v>343.33</v>
      </c>
      <c r="N87">
        <v>5</v>
      </c>
      <c r="U87" s="21"/>
      <c r="V87" s="21"/>
    </row>
    <row r="88" spans="1:22">
      <c r="A88">
        <v>10093</v>
      </c>
      <c r="B88">
        <v>1565</v>
      </c>
      <c r="C88" s="21">
        <v>44980</v>
      </c>
      <c r="D88" s="21">
        <v>44982</v>
      </c>
      <c r="E88" t="s">
        <v>39</v>
      </c>
      <c r="F88" t="s">
        <v>28</v>
      </c>
      <c r="G88" t="s">
        <v>16</v>
      </c>
      <c r="H88" t="s">
        <v>41</v>
      </c>
      <c r="I88" t="s">
        <v>51</v>
      </c>
      <c r="J88" t="s">
        <v>55</v>
      </c>
      <c r="K88" t="s">
        <v>32</v>
      </c>
      <c r="L88">
        <v>9</v>
      </c>
      <c r="M88">
        <v>1938.76</v>
      </c>
      <c r="N88">
        <v>20</v>
      </c>
      <c r="U88" s="21"/>
      <c r="V88" s="21"/>
    </row>
    <row r="89" spans="1:22">
      <c r="A89">
        <v>10094</v>
      </c>
      <c r="B89">
        <v>1105</v>
      </c>
      <c r="C89" s="21">
        <v>44938</v>
      </c>
      <c r="D89" s="21">
        <v>44946</v>
      </c>
      <c r="E89" t="s">
        <v>21</v>
      </c>
      <c r="F89" t="s">
        <v>15</v>
      </c>
      <c r="G89" t="s">
        <v>29</v>
      </c>
      <c r="H89" t="s">
        <v>24</v>
      </c>
      <c r="I89" t="s">
        <v>51</v>
      </c>
      <c r="J89" t="s">
        <v>59</v>
      </c>
      <c r="K89" t="s">
        <v>20</v>
      </c>
      <c r="L89">
        <v>4</v>
      </c>
      <c r="M89">
        <v>1611.52</v>
      </c>
      <c r="N89">
        <v>10</v>
      </c>
      <c r="U89" s="21"/>
      <c r="V89" s="21"/>
    </row>
    <row r="90" spans="1:22">
      <c r="A90">
        <v>10095</v>
      </c>
      <c r="B90">
        <v>1771</v>
      </c>
      <c r="C90" s="21">
        <v>45135</v>
      </c>
      <c r="D90" s="21">
        <v>45137</v>
      </c>
      <c r="E90" t="s">
        <v>39</v>
      </c>
      <c r="F90" t="s">
        <v>53</v>
      </c>
      <c r="G90" t="s">
        <v>29</v>
      </c>
      <c r="H90" t="s">
        <v>41</v>
      </c>
      <c r="I90" t="s">
        <v>48</v>
      </c>
      <c r="J90" t="s">
        <v>49</v>
      </c>
      <c r="K90" t="s">
        <v>46</v>
      </c>
      <c r="L90">
        <v>3</v>
      </c>
      <c r="M90">
        <v>1368.86</v>
      </c>
      <c r="N90">
        <v>10</v>
      </c>
      <c r="U90" s="21"/>
      <c r="V90" s="21"/>
    </row>
    <row r="91" spans="1:22">
      <c r="A91">
        <v>10096</v>
      </c>
      <c r="B91">
        <v>1821</v>
      </c>
      <c r="C91" s="21">
        <v>44940</v>
      </c>
      <c r="D91" s="21">
        <v>44947</v>
      </c>
      <c r="E91" t="s">
        <v>39</v>
      </c>
      <c r="F91" t="s">
        <v>15</v>
      </c>
      <c r="G91" t="s">
        <v>16</v>
      </c>
      <c r="H91" t="s">
        <v>24</v>
      </c>
      <c r="I91" t="s">
        <v>51</v>
      </c>
      <c r="J91" t="s">
        <v>59</v>
      </c>
      <c r="K91" t="s">
        <v>32</v>
      </c>
      <c r="L91">
        <v>2</v>
      </c>
      <c r="M91">
        <v>1249.94</v>
      </c>
      <c r="N91">
        <v>10</v>
      </c>
      <c r="U91" s="21"/>
      <c r="V91" s="21"/>
    </row>
    <row r="92" spans="1:22">
      <c r="A92">
        <v>10097</v>
      </c>
      <c r="B92">
        <v>1476</v>
      </c>
      <c r="C92" s="21">
        <v>45047</v>
      </c>
      <c r="D92" s="21">
        <v>45056</v>
      </c>
      <c r="E92" t="s">
        <v>36</v>
      </c>
      <c r="F92" t="s">
        <v>22</v>
      </c>
      <c r="G92" t="s">
        <v>23</v>
      </c>
      <c r="H92" t="s">
        <v>17</v>
      </c>
      <c r="I92" t="s">
        <v>51</v>
      </c>
      <c r="J92" t="s">
        <v>59</v>
      </c>
      <c r="K92" t="s">
        <v>27</v>
      </c>
      <c r="L92">
        <v>9</v>
      </c>
      <c r="M92">
        <v>501.79</v>
      </c>
      <c r="N92">
        <v>5</v>
      </c>
      <c r="U92" s="21"/>
      <c r="V92" s="21"/>
    </row>
    <row r="93" spans="1:22">
      <c r="A93">
        <v>10098</v>
      </c>
      <c r="B93">
        <v>1702</v>
      </c>
      <c r="C93" s="21">
        <v>44946</v>
      </c>
      <c r="D93" s="21">
        <v>44947</v>
      </c>
      <c r="E93" t="s">
        <v>36</v>
      </c>
      <c r="F93" t="s">
        <v>53</v>
      </c>
      <c r="G93" t="s">
        <v>23</v>
      </c>
      <c r="H93" t="s">
        <v>41</v>
      </c>
      <c r="I93" t="s">
        <v>25</v>
      </c>
      <c r="J93" t="s">
        <v>35</v>
      </c>
      <c r="K93" t="s">
        <v>44</v>
      </c>
      <c r="L93">
        <v>4</v>
      </c>
      <c r="M93">
        <v>1362.08</v>
      </c>
      <c r="N93">
        <v>15</v>
      </c>
      <c r="U93" s="21"/>
      <c r="V93" s="21"/>
    </row>
    <row r="94" spans="1:22">
      <c r="A94">
        <v>10099</v>
      </c>
      <c r="B94">
        <v>1401</v>
      </c>
      <c r="C94" s="21">
        <v>45001</v>
      </c>
      <c r="D94" s="21">
        <v>45009</v>
      </c>
      <c r="E94" t="s">
        <v>45</v>
      </c>
      <c r="F94" t="s">
        <v>37</v>
      </c>
      <c r="G94" t="s">
        <v>16</v>
      </c>
      <c r="H94" t="s">
        <v>41</v>
      </c>
      <c r="I94" t="s">
        <v>51</v>
      </c>
      <c r="J94" t="s">
        <v>52</v>
      </c>
      <c r="K94" t="s">
        <v>27</v>
      </c>
      <c r="L94">
        <v>3</v>
      </c>
      <c r="M94">
        <v>315.75</v>
      </c>
      <c r="N94">
        <v>20</v>
      </c>
      <c r="U94" s="21"/>
      <c r="V94" s="21"/>
    </row>
    <row r="95" spans="1:22">
      <c r="A95">
        <v>10100</v>
      </c>
      <c r="B95">
        <v>1729</v>
      </c>
      <c r="C95" s="21">
        <v>45169</v>
      </c>
      <c r="D95" s="21">
        <v>45176</v>
      </c>
      <c r="E95" t="s">
        <v>15</v>
      </c>
      <c r="F95" t="s">
        <v>28</v>
      </c>
      <c r="G95" t="s">
        <v>23</v>
      </c>
      <c r="H95" t="s">
        <v>17</v>
      </c>
      <c r="I95" t="s">
        <v>18</v>
      </c>
      <c r="J95" t="s">
        <v>42</v>
      </c>
      <c r="K95" t="s">
        <v>46</v>
      </c>
      <c r="L95">
        <v>7</v>
      </c>
      <c r="M95">
        <v>3156.71</v>
      </c>
      <c r="N95">
        <v>10</v>
      </c>
      <c r="U95" s="21"/>
      <c r="V95" s="21"/>
    </row>
    <row r="96" spans="1:22">
      <c r="A96">
        <v>10101</v>
      </c>
      <c r="B96">
        <v>1555</v>
      </c>
      <c r="C96" s="21">
        <v>45149</v>
      </c>
      <c r="D96" s="21">
        <v>45155</v>
      </c>
      <c r="E96" t="s">
        <v>15</v>
      </c>
      <c r="F96" t="s">
        <v>15</v>
      </c>
      <c r="G96" t="s">
        <v>29</v>
      </c>
      <c r="H96" t="s">
        <v>41</v>
      </c>
      <c r="I96" t="s">
        <v>56</v>
      </c>
      <c r="J96" t="s">
        <v>58</v>
      </c>
      <c r="K96" t="s">
        <v>27</v>
      </c>
      <c r="L96">
        <v>8</v>
      </c>
      <c r="M96">
        <v>1683.18</v>
      </c>
      <c r="N96">
        <v>15</v>
      </c>
      <c r="U96" s="21"/>
      <c r="V96" s="21"/>
    </row>
    <row r="97" spans="1:22">
      <c r="A97">
        <v>10102</v>
      </c>
      <c r="B97">
        <v>1161</v>
      </c>
      <c r="C97" s="21">
        <v>44996</v>
      </c>
      <c r="D97" s="21">
        <v>45002</v>
      </c>
      <c r="E97" t="s">
        <v>36</v>
      </c>
      <c r="F97" t="s">
        <v>53</v>
      </c>
      <c r="G97" t="s">
        <v>29</v>
      </c>
      <c r="H97" t="s">
        <v>24</v>
      </c>
      <c r="I97" t="s">
        <v>30</v>
      </c>
      <c r="J97" t="s">
        <v>38</v>
      </c>
      <c r="K97" t="s">
        <v>20</v>
      </c>
      <c r="L97">
        <v>2</v>
      </c>
      <c r="M97">
        <v>1859.03</v>
      </c>
      <c r="N97">
        <v>20</v>
      </c>
      <c r="U97" s="21"/>
      <c r="V97" s="21"/>
    </row>
    <row r="98" spans="1:22">
      <c r="A98">
        <v>10103</v>
      </c>
      <c r="B98">
        <v>1201</v>
      </c>
      <c r="C98" s="21">
        <v>45238</v>
      </c>
      <c r="D98" s="21">
        <v>45244</v>
      </c>
      <c r="E98" t="s">
        <v>45</v>
      </c>
      <c r="F98" t="s">
        <v>22</v>
      </c>
      <c r="G98" t="s">
        <v>16</v>
      </c>
      <c r="H98" t="s">
        <v>41</v>
      </c>
      <c r="I98" t="s">
        <v>18</v>
      </c>
      <c r="J98" t="s">
        <v>19</v>
      </c>
      <c r="K98" t="s">
        <v>46</v>
      </c>
      <c r="L98">
        <v>7</v>
      </c>
      <c r="M98">
        <v>3590.34</v>
      </c>
      <c r="N98">
        <v>20</v>
      </c>
      <c r="U98" s="21"/>
      <c r="V98" s="21"/>
    </row>
    <row r="99" spans="1:22">
      <c r="A99">
        <v>10105</v>
      </c>
      <c r="B99">
        <v>1995</v>
      </c>
      <c r="C99" s="21">
        <v>45027</v>
      </c>
      <c r="D99" s="21">
        <v>45029</v>
      </c>
      <c r="E99" t="s">
        <v>45</v>
      </c>
      <c r="F99" t="s">
        <v>40</v>
      </c>
      <c r="G99" t="s">
        <v>23</v>
      </c>
      <c r="H99" t="s">
        <v>34</v>
      </c>
      <c r="I99" t="s">
        <v>25</v>
      </c>
      <c r="J99" t="s">
        <v>26</v>
      </c>
      <c r="K99" t="s">
        <v>20</v>
      </c>
      <c r="L99">
        <v>5</v>
      </c>
      <c r="M99">
        <v>181.03</v>
      </c>
      <c r="N99">
        <v>10</v>
      </c>
      <c r="U99" s="21"/>
      <c r="V99" s="21"/>
    </row>
    <row r="100" spans="1:22">
      <c r="A100">
        <v>10106</v>
      </c>
      <c r="B100">
        <v>1269</v>
      </c>
      <c r="C100" s="21">
        <v>45112</v>
      </c>
      <c r="D100" s="21">
        <v>45113</v>
      </c>
      <c r="E100" t="s">
        <v>45</v>
      </c>
      <c r="F100" t="s">
        <v>22</v>
      </c>
      <c r="G100" t="s">
        <v>29</v>
      </c>
      <c r="H100" t="s">
        <v>24</v>
      </c>
      <c r="I100" t="s">
        <v>48</v>
      </c>
      <c r="J100" t="s">
        <v>62</v>
      </c>
      <c r="K100" t="s">
        <v>46</v>
      </c>
      <c r="L100">
        <v>3</v>
      </c>
      <c r="M100">
        <v>3781.22</v>
      </c>
      <c r="N100">
        <v>5</v>
      </c>
      <c r="U100" s="21"/>
      <c r="V100" s="21"/>
    </row>
    <row r="101" spans="1:22">
      <c r="A101">
        <v>10107</v>
      </c>
      <c r="B101">
        <v>1862</v>
      </c>
      <c r="C101" s="21">
        <v>45058</v>
      </c>
      <c r="D101" s="21">
        <v>45064</v>
      </c>
      <c r="E101" t="s">
        <v>45</v>
      </c>
      <c r="F101" t="s">
        <v>37</v>
      </c>
      <c r="G101" t="s">
        <v>16</v>
      </c>
      <c r="H101" t="s">
        <v>43</v>
      </c>
      <c r="I101" t="s">
        <v>51</v>
      </c>
      <c r="J101" t="s">
        <v>59</v>
      </c>
      <c r="K101" t="s">
        <v>44</v>
      </c>
      <c r="L101">
        <v>5</v>
      </c>
      <c r="M101">
        <v>1063.01</v>
      </c>
      <c r="N101">
        <v>15</v>
      </c>
      <c r="U101" s="21"/>
      <c r="V101" s="21"/>
    </row>
    <row r="102" spans="1:22">
      <c r="A102">
        <v>10108</v>
      </c>
      <c r="B102">
        <v>1815</v>
      </c>
      <c r="C102" s="21">
        <v>45037</v>
      </c>
      <c r="D102" s="21">
        <v>45045</v>
      </c>
      <c r="E102" t="s">
        <v>14</v>
      </c>
      <c r="F102" t="s">
        <v>28</v>
      </c>
      <c r="G102" t="s">
        <v>23</v>
      </c>
      <c r="H102" t="s">
        <v>17</v>
      </c>
      <c r="I102" t="s">
        <v>25</v>
      </c>
      <c r="J102" t="s">
        <v>35</v>
      </c>
      <c r="K102" t="s">
        <v>20</v>
      </c>
      <c r="L102">
        <v>2</v>
      </c>
      <c r="M102">
        <v>564.30999999999995</v>
      </c>
      <c r="N102">
        <v>15</v>
      </c>
      <c r="U102" s="21"/>
      <c r="V102" s="21"/>
    </row>
    <row r="103" spans="1:22">
      <c r="A103">
        <v>10110</v>
      </c>
      <c r="B103">
        <v>1455</v>
      </c>
      <c r="C103" s="21">
        <v>44946</v>
      </c>
      <c r="D103" s="21">
        <v>44947</v>
      </c>
      <c r="E103" t="s">
        <v>45</v>
      </c>
      <c r="F103" t="s">
        <v>15</v>
      </c>
      <c r="G103" t="s">
        <v>23</v>
      </c>
      <c r="H103" t="s">
        <v>34</v>
      </c>
      <c r="I103" t="s">
        <v>51</v>
      </c>
      <c r="J103" t="s">
        <v>55</v>
      </c>
      <c r="K103" t="s">
        <v>46</v>
      </c>
      <c r="L103">
        <v>6</v>
      </c>
      <c r="M103">
        <v>2076.84</v>
      </c>
      <c r="N103">
        <v>20</v>
      </c>
      <c r="U103" s="21"/>
      <c r="V103" s="21"/>
    </row>
    <row r="104" spans="1:22">
      <c r="A104">
        <v>10111</v>
      </c>
      <c r="B104">
        <v>1461</v>
      </c>
      <c r="C104" s="21">
        <v>44950</v>
      </c>
      <c r="D104" s="21">
        <v>44959</v>
      </c>
      <c r="E104" t="s">
        <v>14</v>
      </c>
      <c r="F104" t="s">
        <v>53</v>
      </c>
      <c r="G104" t="s">
        <v>29</v>
      </c>
      <c r="H104" t="s">
        <v>34</v>
      </c>
      <c r="I104" t="s">
        <v>48</v>
      </c>
      <c r="J104" t="s">
        <v>66</v>
      </c>
      <c r="K104" t="s">
        <v>32</v>
      </c>
      <c r="L104">
        <v>1</v>
      </c>
      <c r="M104">
        <v>1820.02</v>
      </c>
      <c r="N104">
        <v>10</v>
      </c>
      <c r="U104" s="21"/>
      <c r="V104" s="21"/>
    </row>
    <row r="105" spans="1:22">
      <c r="A105">
        <v>10112</v>
      </c>
      <c r="B105">
        <v>1726</v>
      </c>
      <c r="C105" s="21">
        <v>45153</v>
      </c>
      <c r="D105" s="21">
        <v>45154</v>
      </c>
      <c r="E105" t="s">
        <v>36</v>
      </c>
      <c r="F105" t="s">
        <v>40</v>
      </c>
      <c r="G105" t="s">
        <v>29</v>
      </c>
      <c r="H105" t="s">
        <v>17</v>
      </c>
      <c r="I105" t="s">
        <v>25</v>
      </c>
      <c r="J105" t="s">
        <v>35</v>
      </c>
      <c r="K105" t="s">
        <v>20</v>
      </c>
      <c r="L105">
        <v>4</v>
      </c>
      <c r="M105">
        <v>1110.5899999999999</v>
      </c>
      <c r="N105">
        <v>20</v>
      </c>
      <c r="U105" s="21"/>
      <c r="V105" s="21"/>
    </row>
    <row r="106" spans="1:22">
      <c r="A106">
        <v>10113</v>
      </c>
      <c r="B106">
        <v>1251</v>
      </c>
      <c r="C106" s="21">
        <v>45080</v>
      </c>
      <c r="D106" s="21">
        <v>45083</v>
      </c>
      <c r="E106" t="s">
        <v>15</v>
      </c>
      <c r="F106" t="s">
        <v>22</v>
      </c>
      <c r="G106" t="s">
        <v>16</v>
      </c>
      <c r="H106" t="s">
        <v>17</v>
      </c>
      <c r="I106" t="s">
        <v>25</v>
      </c>
      <c r="J106" t="s">
        <v>60</v>
      </c>
      <c r="K106" t="s">
        <v>20</v>
      </c>
      <c r="L106">
        <v>6</v>
      </c>
      <c r="M106">
        <v>2257.77</v>
      </c>
      <c r="N106">
        <v>20</v>
      </c>
      <c r="U106" s="21"/>
      <c r="V106" s="21"/>
    </row>
    <row r="107" spans="1:22">
      <c r="A107">
        <v>10114</v>
      </c>
      <c r="B107">
        <v>1701</v>
      </c>
      <c r="C107" s="21">
        <v>45219</v>
      </c>
      <c r="D107" s="21">
        <v>45227</v>
      </c>
      <c r="E107" t="s">
        <v>39</v>
      </c>
      <c r="F107" t="s">
        <v>22</v>
      </c>
      <c r="G107" t="s">
        <v>29</v>
      </c>
      <c r="H107" t="s">
        <v>24</v>
      </c>
      <c r="I107" t="s">
        <v>25</v>
      </c>
      <c r="J107" t="s">
        <v>67</v>
      </c>
      <c r="K107" t="s">
        <v>44</v>
      </c>
      <c r="L107">
        <v>9</v>
      </c>
      <c r="M107">
        <v>1206.3800000000001</v>
      </c>
      <c r="N107">
        <v>10</v>
      </c>
      <c r="U107" s="21"/>
      <c r="V107" s="21"/>
    </row>
    <row r="108" spans="1:22">
      <c r="A108">
        <v>10115</v>
      </c>
      <c r="B108">
        <v>1295</v>
      </c>
      <c r="C108" s="21">
        <v>45156</v>
      </c>
      <c r="D108" s="21">
        <v>45159</v>
      </c>
      <c r="E108" t="s">
        <v>21</v>
      </c>
      <c r="F108" t="s">
        <v>53</v>
      </c>
      <c r="G108" t="s">
        <v>23</v>
      </c>
      <c r="H108" t="s">
        <v>41</v>
      </c>
      <c r="I108" t="s">
        <v>56</v>
      </c>
      <c r="J108" t="s">
        <v>61</v>
      </c>
      <c r="K108" t="s">
        <v>27</v>
      </c>
      <c r="L108">
        <v>2</v>
      </c>
      <c r="M108">
        <v>3621.09</v>
      </c>
      <c r="N108">
        <v>0</v>
      </c>
      <c r="U108" s="21"/>
      <c r="V108" s="21"/>
    </row>
    <row r="109" spans="1:22">
      <c r="A109">
        <v>10116</v>
      </c>
      <c r="B109">
        <v>1724</v>
      </c>
      <c r="C109" s="21">
        <v>45236</v>
      </c>
      <c r="D109" s="21">
        <v>45240</v>
      </c>
      <c r="E109" t="s">
        <v>15</v>
      </c>
      <c r="F109" t="s">
        <v>40</v>
      </c>
      <c r="G109" t="s">
        <v>29</v>
      </c>
      <c r="H109" t="s">
        <v>17</v>
      </c>
      <c r="I109" t="s">
        <v>51</v>
      </c>
      <c r="J109" t="s">
        <v>59</v>
      </c>
      <c r="K109" t="s">
        <v>46</v>
      </c>
      <c r="L109">
        <v>7</v>
      </c>
      <c r="M109">
        <v>978.54</v>
      </c>
      <c r="N109">
        <v>15</v>
      </c>
      <c r="U109" s="21"/>
      <c r="V109" s="21"/>
    </row>
    <row r="110" spans="1:22">
      <c r="A110">
        <v>10117</v>
      </c>
      <c r="B110">
        <v>1719</v>
      </c>
      <c r="C110" s="21">
        <v>45285</v>
      </c>
      <c r="D110" s="21">
        <v>45293</v>
      </c>
      <c r="E110" t="s">
        <v>39</v>
      </c>
      <c r="F110" t="s">
        <v>53</v>
      </c>
      <c r="G110" t="s">
        <v>16</v>
      </c>
      <c r="H110" t="s">
        <v>41</v>
      </c>
      <c r="I110" t="s">
        <v>56</v>
      </c>
      <c r="J110" t="s">
        <v>57</v>
      </c>
      <c r="K110" t="s">
        <v>46</v>
      </c>
      <c r="L110">
        <v>6</v>
      </c>
      <c r="M110">
        <v>3554.77</v>
      </c>
      <c r="N110">
        <v>20</v>
      </c>
      <c r="U110" s="21"/>
      <c r="V110" s="21"/>
    </row>
    <row r="111" spans="1:22">
      <c r="A111">
        <v>10118</v>
      </c>
      <c r="B111">
        <v>1748</v>
      </c>
      <c r="C111" s="21">
        <v>45128</v>
      </c>
      <c r="D111" s="21">
        <v>45129</v>
      </c>
      <c r="E111" t="s">
        <v>21</v>
      </c>
      <c r="F111" t="s">
        <v>15</v>
      </c>
      <c r="G111" t="s">
        <v>16</v>
      </c>
      <c r="H111" t="s">
        <v>43</v>
      </c>
      <c r="I111" t="s">
        <v>30</v>
      </c>
      <c r="J111" t="s">
        <v>47</v>
      </c>
      <c r="K111" t="s">
        <v>32</v>
      </c>
      <c r="L111">
        <v>2</v>
      </c>
      <c r="M111">
        <v>2303.71</v>
      </c>
      <c r="N111">
        <v>20</v>
      </c>
      <c r="U111" s="21"/>
      <c r="V111" s="21"/>
    </row>
    <row r="112" spans="1:22">
      <c r="A112">
        <v>10119</v>
      </c>
      <c r="B112">
        <v>1337</v>
      </c>
      <c r="C112" s="21">
        <v>44964</v>
      </c>
      <c r="D112" s="21">
        <v>44970</v>
      </c>
      <c r="E112" t="s">
        <v>15</v>
      </c>
      <c r="F112" t="s">
        <v>37</v>
      </c>
      <c r="G112" t="s">
        <v>16</v>
      </c>
      <c r="H112" t="s">
        <v>34</v>
      </c>
      <c r="I112" t="s">
        <v>30</v>
      </c>
      <c r="J112" t="s">
        <v>31</v>
      </c>
      <c r="K112" t="s">
        <v>32</v>
      </c>
      <c r="L112">
        <v>8</v>
      </c>
      <c r="M112">
        <v>3339.68</v>
      </c>
      <c r="N112">
        <v>0</v>
      </c>
      <c r="U112" s="21"/>
      <c r="V112" s="21"/>
    </row>
    <row r="113" spans="1:22">
      <c r="A113">
        <v>10120</v>
      </c>
      <c r="B113">
        <v>1878</v>
      </c>
      <c r="C113" s="21">
        <v>45186</v>
      </c>
      <c r="D113" s="21">
        <v>45187</v>
      </c>
      <c r="E113" t="s">
        <v>39</v>
      </c>
      <c r="F113" t="s">
        <v>22</v>
      </c>
      <c r="G113" t="s">
        <v>23</v>
      </c>
      <c r="H113" t="s">
        <v>41</v>
      </c>
      <c r="I113" t="s">
        <v>51</v>
      </c>
      <c r="J113" t="s">
        <v>52</v>
      </c>
      <c r="K113" t="s">
        <v>46</v>
      </c>
      <c r="L113">
        <v>7</v>
      </c>
      <c r="M113">
        <v>2894.46</v>
      </c>
      <c r="N113">
        <v>5</v>
      </c>
      <c r="U113" s="21"/>
      <c r="V113" s="21"/>
    </row>
    <row r="114" spans="1:22">
      <c r="A114">
        <v>10121</v>
      </c>
      <c r="B114">
        <v>1052</v>
      </c>
      <c r="C114" s="21">
        <v>45114</v>
      </c>
      <c r="D114" s="21">
        <v>45115</v>
      </c>
      <c r="E114" t="s">
        <v>15</v>
      </c>
      <c r="F114" t="s">
        <v>15</v>
      </c>
      <c r="G114" t="s">
        <v>23</v>
      </c>
      <c r="H114" t="s">
        <v>34</v>
      </c>
      <c r="I114" t="s">
        <v>56</v>
      </c>
      <c r="J114" t="s">
        <v>61</v>
      </c>
      <c r="K114" t="s">
        <v>32</v>
      </c>
      <c r="L114">
        <v>5</v>
      </c>
      <c r="M114">
        <v>2832.28</v>
      </c>
      <c r="N114">
        <v>0</v>
      </c>
      <c r="U114" s="21"/>
      <c r="V114" s="21"/>
    </row>
    <row r="115" spans="1:22">
      <c r="A115">
        <v>10122</v>
      </c>
      <c r="B115">
        <v>1791</v>
      </c>
      <c r="C115" s="21">
        <v>44983</v>
      </c>
      <c r="D115" s="21">
        <v>44991</v>
      </c>
      <c r="E115" t="s">
        <v>15</v>
      </c>
      <c r="F115" t="s">
        <v>37</v>
      </c>
      <c r="G115" t="s">
        <v>23</v>
      </c>
      <c r="H115" t="s">
        <v>41</v>
      </c>
      <c r="I115" t="s">
        <v>48</v>
      </c>
      <c r="J115" t="s">
        <v>62</v>
      </c>
      <c r="K115" t="s">
        <v>44</v>
      </c>
      <c r="L115">
        <v>5</v>
      </c>
      <c r="M115">
        <v>1398.73</v>
      </c>
      <c r="N115">
        <v>0</v>
      </c>
      <c r="U115" s="21"/>
      <c r="V115" s="21"/>
    </row>
    <row r="116" spans="1:22">
      <c r="A116">
        <v>10123</v>
      </c>
      <c r="B116">
        <v>1921</v>
      </c>
      <c r="C116" s="21">
        <v>44946</v>
      </c>
      <c r="D116" s="21">
        <v>44950</v>
      </c>
      <c r="E116" t="s">
        <v>21</v>
      </c>
      <c r="F116" t="s">
        <v>15</v>
      </c>
      <c r="G116" t="s">
        <v>23</v>
      </c>
      <c r="H116" t="s">
        <v>43</v>
      </c>
      <c r="I116" t="s">
        <v>25</v>
      </c>
      <c r="J116" t="s">
        <v>67</v>
      </c>
      <c r="K116" t="s">
        <v>46</v>
      </c>
      <c r="L116">
        <v>7</v>
      </c>
      <c r="M116">
        <v>1050.5</v>
      </c>
      <c r="N116">
        <v>20</v>
      </c>
      <c r="U116" s="21"/>
      <c r="V116" s="21"/>
    </row>
    <row r="117" spans="1:22">
      <c r="A117">
        <v>10124</v>
      </c>
      <c r="B117">
        <v>1216</v>
      </c>
      <c r="C117" s="21">
        <v>45199</v>
      </c>
      <c r="D117" s="21">
        <v>45200</v>
      </c>
      <c r="E117" t="s">
        <v>15</v>
      </c>
      <c r="F117" t="s">
        <v>40</v>
      </c>
      <c r="G117" t="s">
        <v>23</v>
      </c>
      <c r="H117" t="s">
        <v>17</v>
      </c>
      <c r="I117" t="s">
        <v>25</v>
      </c>
      <c r="J117" t="s">
        <v>60</v>
      </c>
      <c r="K117" t="s">
        <v>32</v>
      </c>
      <c r="L117">
        <v>9</v>
      </c>
      <c r="M117">
        <v>961.91</v>
      </c>
      <c r="N117">
        <v>15</v>
      </c>
      <c r="U117" s="21"/>
      <c r="V117" s="21"/>
    </row>
    <row r="118" spans="1:22">
      <c r="A118">
        <v>10125</v>
      </c>
      <c r="B118">
        <v>1763</v>
      </c>
      <c r="C118" s="21">
        <v>45045</v>
      </c>
      <c r="D118" s="21">
        <v>45052</v>
      </c>
      <c r="E118" t="s">
        <v>15</v>
      </c>
      <c r="F118" t="s">
        <v>22</v>
      </c>
      <c r="G118" t="s">
        <v>29</v>
      </c>
      <c r="H118" t="s">
        <v>43</v>
      </c>
      <c r="I118" t="s">
        <v>51</v>
      </c>
      <c r="J118" t="s">
        <v>63</v>
      </c>
      <c r="K118" t="s">
        <v>46</v>
      </c>
      <c r="L118">
        <v>9</v>
      </c>
      <c r="M118">
        <v>3450.19</v>
      </c>
      <c r="N118">
        <v>0</v>
      </c>
      <c r="U118" s="21"/>
      <c r="V118" s="21"/>
    </row>
    <row r="119" spans="1:22">
      <c r="A119">
        <v>10126</v>
      </c>
      <c r="B119">
        <v>1187</v>
      </c>
      <c r="C119" s="21">
        <v>44997</v>
      </c>
      <c r="D119" s="21">
        <v>45002</v>
      </c>
      <c r="E119" t="s">
        <v>21</v>
      </c>
      <c r="F119" t="s">
        <v>53</v>
      </c>
      <c r="G119" t="s">
        <v>23</v>
      </c>
      <c r="H119" t="s">
        <v>17</v>
      </c>
      <c r="I119" t="s">
        <v>30</v>
      </c>
      <c r="J119" t="s">
        <v>47</v>
      </c>
      <c r="K119" t="s">
        <v>27</v>
      </c>
      <c r="L119">
        <v>9</v>
      </c>
      <c r="M119">
        <v>3308.64</v>
      </c>
      <c r="N119">
        <v>5</v>
      </c>
      <c r="U119" s="21"/>
      <c r="V119" s="21"/>
    </row>
    <row r="120" spans="1:22">
      <c r="A120">
        <v>10127</v>
      </c>
      <c r="B120">
        <v>1379</v>
      </c>
      <c r="C120" s="21">
        <v>44930</v>
      </c>
      <c r="D120" s="21">
        <v>44935</v>
      </c>
      <c r="E120" t="s">
        <v>36</v>
      </c>
      <c r="F120" t="s">
        <v>53</v>
      </c>
      <c r="G120" t="s">
        <v>23</v>
      </c>
      <c r="H120" t="s">
        <v>17</v>
      </c>
      <c r="I120" t="s">
        <v>30</v>
      </c>
      <c r="J120" t="s">
        <v>38</v>
      </c>
      <c r="K120" t="s">
        <v>20</v>
      </c>
      <c r="L120">
        <v>6</v>
      </c>
      <c r="M120">
        <v>1846.21</v>
      </c>
      <c r="N120">
        <v>10</v>
      </c>
      <c r="U120" s="21"/>
      <c r="V120" s="21"/>
    </row>
    <row r="121" spans="1:22">
      <c r="A121">
        <v>10128</v>
      </c>
      <c r="B121">
        <v>1492</v>
      </c>
      <c r="C121" s="21">
        <v>45147</v>
      </c>
      <c r="D121" s="21">
        <v>45148</v>
      </c>
      <c r="E121" t="s">
        <v>45</v>
      </c>
      <c r="F121" t="s">
        <v>37</v>
      </c>
      <c r="G121" t="s">
        <v>29</v>
      </c>
      <c r="H121" t="s">
        <v>34</v>
      </c>
      <c r="I121" t="s">
        <v>25</v>
      </c>
      <c r="J121" t="s">
        <v>60</v>
      </c>
      <c r="K121" t="s">
        <v>46</v>
      </c>
      <c r="L121">
        <v>6</v>
      </c>
      <c r="M121">
        <v>659.76</v>
      </c>
      <c r="N121">
        <v>0</v>
      </c>
      <c r="U121" s="21"/>
      <c r="V121" s="21"/>
    </row>
    <row r="122" spans="1:22">
      <c r="A122">
        <v>10129</v>
      </c>
      <c r="B122">
        <v>1040</v>
      </c>
      <c r="C122" s="21">
        <v>44940</v>
      </c>
      <c r="D122" s="21">
        <v>44946</v>
      </c>
      <c r="E122" t="s">
        <v>33</v>
      </c>
      <c r="F122" t="s">
        <v>28</v>
      </c>
      <c r="G122" t="s">
        <v>23</v>
      </c>
      <c r="H122" t="s">
        <v>43</v>
      </c>
      <c r="I122" t="s">
        <v>51</v>
      </c>
      <c r="J122" t="s">
        <v>55</v>
      </c>
      <c r="K122" t="s">
        <v>20</v>
      </c>
      <c r="L122">
        <v>3</v>
      </c>
      <c r="M122">
        <v>1621.67</v>
      </c>
      <c r="N122">
        <v>0</v>
      </c>
      <c r="U122" s="21"/>
      <c r="V122" s="21"/>
    </row>
    <row r="123" spans="1:22">
      <c r="A123">
        <v>10130</v>
      </c>
      <c r="B123">
        <v>1156</v>
      </c>
      <c r="C123" s="21">
        <v>44929</v>
      </c>
      <c r="D123" s="21">
        <v>44938</v>
      </c>
      <c r="E123" t="s">
        <v>14</v>
      </c>
      <c r="F123" t="s">
        <v>40</v>
      </c>
      <c r="G123" t="s">
        <v>16</v>
      </c>
      <c r="H123" t="s">
        <v>41</v>
      </c>
      <c r="I123" t="s">
        <v>56</v>
      </c>
      <c r="J123" t="s">
        <v>61</v>
      </c>
      <c r="K123" t="s">
        <v>32</v>
      </c>
      <c r="L123">
        <v>1</v>
      </c>
      <c r="M123">
        <v>2534.4699999999998</v>
      </c>
      <c r="N123">
        <v>5</v>
      </c>
      <c r="U123" s="21"/>
      <c r="V123" s="21"/>
    </row>
    <row r="124" spans="1:22">
      <c r="A124">
        <v>10131</v>
      </c>
      <c r="B124">
        <v>1014</v>
      </c>
      <c r="C124" s="21">
        <v>45142</v>
      </c>
      <c r="D124" s="21">
        <v>45151</v>
      </c>
      <c r="E124" t="s">
        <v>33</v>
      </c>
      <c r="F124" t="s">
        <v>37</v>
      </c>
      <c r="G124" t="s">
        <v>23</v>
      </c>
      <c r="H124" t="s">
        <v>43</v>
      </c>
      <c r="I124" t="s">
        <v>30</v>
      </c>
      <c r="J124" t="s">
        <v>31</v>
      </c>
      <c r="K124" t="s">
        <v>20</v>
      </c>
      <c r="L124">
        <v>7</v>
      </c>
      <c r="M124">
        <v>1899.45</v>
      </c>
      <c r="N124">
        <v>15</v>
      </c>
      <c r="U124" s="21"/>
      <c r="V124" s="21"/>
    </row>
    <row r="125" spans="1:22">
      <c r="A125">
        <v>10132</v>
      </c>
      <c r="B125">
        <v>1812</v>
      </c>
      <c r="C125" s="21">
        <v>45155</v>
      </c>
      <c r="D125" s="21">
        <v>45163</v>
      </c>
      <c r="E125" t="s">
        <v>33</v>
      </c>
      <c r="F125" t="s">
        <v>28</v>
      </c>
      <c r="G125" t="s">
        <v>23</v>
      </c>
      <c r="H125" t="s">
        <v>34</v>
      </c>
      <c r="I125" t="s">
        <v>56</v>
      </c>
      <c r="J125" t="s">
        <v>57</v>
      </c>
      <c r="K125" t="s">
        <v>46</v>
      </c>
      <c r="L125">
        <v>4</v>
      </c>
      <c r="M125">
        <v>3153.73</v>
      </c>
      <c r="N125">
        <v>0</v>
      </c>
      <c r="U125" s="21"/>
      <c r="V125" s="21"/>
    </row>
    <row r="126" spans="1:22">
      <c r="A126">
        <v>10133</v>
      </c>
      <c r="B126">
        <v>1064</v>
      </c>
      <c r="C126" s="21">
        <v>45262</v>
      </c>
      <c r="D126" s="21">
        <v>45267</v>
      </c>
      <c r="E126" t="s">
        <v>39</v>
      </c>
      <c r="F126" t="s">
        <v>15</v>
      </c>
      <c r="G126" t="s">
        <v>16</v>
      </c>
      <c r="H126" t="s">
        <v>17</v>
      </c>
      <c r="I126" t="s">
        <v>30</v>
      </c>
      <c r="J126" t="s">
        <v>47</v>
      </c>
      <c r="K126" t="s">
        <v>27</v>
      </c>
      <c r="L126">
        <v>1</v>
      </c>
      <c r="M126">
        <v>3990.85</v>
      </c>
      <c r="N126">
        <v>0</v>
      </c>
      <c r="U126" s="21"/>
      <c r="V126" s="21"/>
    </row>
    <row r="127" spans="1:22">
      <c r="A127">
        <v>10135</v>
      </c>
      <c r="B127">
        <v>1838</v>
      </c>
      <c r="C127" s="21">
        <v>44981</v>
      </c>
      <c r="D127" s="21">
        <v>44990</v>
      </c>
      <c r="E127" t="s">
        <v>39</v>
      </c>
      <c r="F127" t="s">
        <v>15</v>
      </c>
      <c r="G127" t="s">
        <v>16</v>
      </c>
      <c r="H127" t="s">
        <v>24</v>
      </c>
      <c r="I127" t="s">
        <v>18</v>
      </c>
      <c r="J127" t="s">
        <v>42</v>
      </c>
      <c r="K127" t="s">
        <v>46</v>
      </c>
      <c r="L127">
        <v>6</v>
      </c>
      <c r="M127">
        <v>1919.66</v>
      </c>
      <c r="N127">
        <v>5</v>
      </c>
      <c r="U127" s="21"/>
      <c r="V127" s="21"/>
    </row>
    <row r="128" spans="1:22">
      <c r="A128">
        <v>10136</v>
      </c>
      <c r="B128">
        <v>1520</v>
      </c>
      <c r="C128" s="21">
        <v>45180</v>
      </c>
      <c r="D128" s="21">
        <v>45181</v>
      </c>
      <c r="E128" t="s">
        <v>45</v>
      </c>
      <c r="F128" t="s">
        <v>22</v>
      </c>
      <c r="G128" t="s">
        <v>16</v>
      </c>
      <c r="H128" t="s">
        <v>24</v>
      </c>
      <c r="I128" t="s">
        <v>30</v>
      </c>
      <c r="J128" t="s">
        <v>38</v>
      </c>
      <c r="K128" t="s">
        <v>32</v>
      </c>
      <c r="L128">
        <v>6</v>
      </c>
      <c r="M128">
        <v>1809.29</v>
      </c>
      <c r="N128">
        <v>0</v>
      </c>
      <c r="U128" s="21"/>
      <c r="V128" s="21"/>
    </row>
    <row r="129" spans="1:22">
      <c r="A129">
        <v>10138</v>
      </c>
      <c r="B129">
        <v>1128</v>
      </c>
      <c r="C129" s="21">
        <v>45088</v>
      </c>
      <c r="D129" s="21">
        <v>45093</v>
      </c>
      <c r="E129" t="s">
        <v>21</v>
      </c>
      <c r="F129" t="s">
        <v>28</v>
      </c>
      <c r="G129" t="s">
        <v>16</v>
      </c>
      <c r="H129" t="s">
        <v>34</v>
      </c>
      <c r="I129" t="s">
        <v>51</v>
      </c>
      <c r="J129" t="s">
        <v>52</v>
      </c>
      <c r="K129" t="s">
        <v>20</v>
      </c>
      <c r="L129">
        <v>1</v>
      </c>
      <c r="M129">
        <v>912.67</v>
      </c>
      <c r="N129">
        <v>0</v>
      </c>
      <c r="U129" s="21"/>
      <c r="V129" s="21"/>
    </row>
    <row r="130" spans="1:22">
      <c r="A130">
        <v>10139</v>
      </c>
      <c r="B130">
        <v>1647</v>
      </c>
      <c r="C130" s="21">
        <v>45084</v>
      </c>
      <c r="D130" s="21">
        <v>45087</v>
      </c>
      <c r="E130" t="s">
        <v>45</v>
      </c>
      <c r="F130" t="s">
        <v>22</v>
      </c>
      <c r="G130" t="s">
        <v>16</v>
      </c>
      <c r="H130" t="s">
        <v>41</v>
      </c>
      <c r="I130" t="s">
        <v>51</v>
      </c>
      <c r="J130" t="s">
        <v>52</v>
      </c>
      <c r="K130" t="s">
        <v>44</v>
      </c>
      <c r="L130">
        <v>2</v>
      </c>
      <c r="M130">
        <v>402.91</v>
      </c>
      <c r="N130">
        <v>10</v>
      </c>
      <c r="U130" s="21"/>
      <c r="V130" s="21"/>
    </row>
    <row r="131" spans="1:22">
      <c r="A131">
        <v>10140</v>
      </c>
      <c r="B131">
        <v>1471</v>
      </c>
      <c r="C131" s="21">
        <v>45008</v>
      </c>
      <c r="D131" s="21">
        <v>45015</v>
      </c>
      <c r="E131" t="s">
        <v>15</v>
      </c>
      <c r="F131" t="s">
        <v>53</v>
      </c>
      <c r="G131" t="s">
        <v>29</v>
      </c>
      <c r="H131" t="s">
        <v>41</v>
      </c>
      <c r="I131" t="s">
        <v>56</v>
      </c>
      <c r="J131" t="s">
        <v>58</v>
      </c>
      <c r="K131" t="s">
        <v>46</v>
      </c>
      <c r="L131">
        <v>4</v>
      </c>
      <c r="M131">
        <v>3565.41</v>
      </c>
      <c r="N131">
        <v>20</v>
      </c>
      <c r="U131" s="21"/>
      <c r="V131" s="21"/>
    </row>
    <row r="132" spans="1:22">
      <c r="A132">
        <v>10141</v>
      </c>
      <c r="B132">
        <v>1062</v>
      </c>
      <c r="C132" s="21">
        <v>45085</v>
      </c>
      <c r="D132" s="21">
        <v>45092</v>
      </c>
      <c r="E132" t="s">
        <v>36</v>
      </c>
      <c r="F132" t="s">
        <v>28</v>
      </c>
      <c r="G132" t="s">
        <v>16</v>
      </c>
      <c r="H132" t="s">
        <v>24</v>
      </c>
      <c r="I132" t="s">
        <v>30</v>
      </c>
      <c r="J132" t="s">
        <v>38</v>
      </c>
      <c r="K132" t="s">
        <v>27</v>
      </c>
      <c r="L132">
        <v>2</v>
      </c>
      <c r="M132">
        <v>1766.42</v>
      </c>
      <c r="N132">
        <v>10</v>
      </c>
      <c r="U132" s="21"/>
      <c r="V132" s="21"/>
    </row>
    <row r="133" spans="1:22">
      <c r="A133">
        <v>10142</v>
      </c>
      <c r="B133">
        <v>1138</v>
      </c>
      <c r="C133" s="21">
        <v>45114</v>
      </c>
      <c r="D133" s="21">
        <v>45123</v>
      </c>
      <c r="E133" t="s">
        <v>15</v>
      </c>
      <c r="F133" t="s">
        <v>37</v>
      </c>
      <c r="G133" t="s">
        <v>16</v>
      </c>
      <c r="H133" t="s">
        <v>41</v>
      </c>
      <c r="I133" t="s">
        <v>48</v>
      </c>
      <c r="J133" t="s">
        <v>50</v>
      </c>
      <c r="K133" t="s">
        <v>32</v>
      </c>
      <c r="L133">
        <v>1</v>
      </c>
      <c r="M133">
        <v>2063.0500000000002</v>
      </c>
      <c r="N133">
        <v>0</v>
      </c>
      <c r="U133" s="21"/>
      <c r="V133" s="21"/>
    </row>
    <row r="134" spans="1:22">
      <c r="A134">
        <v>10143</v>
      </c>
      <c r="B134">
        <v>1498</v>
      </c>
      <c r="C134" s="21">
        <v>44986</v>
      </c>
      <c r="D134" s="21">
        <v>44993</v>
      </c>
      <c r="E134" t="s">
        <v>36</v>
      </c>
      <c r="F134" t="s">
        <v>53</v>
      </c>
      <c r="G134" t="s">
        <v>29</v>
      </c>
      <c r="H134" t="s">
        <v>24</v>
      </c>
      <c r="I134" t="s">
        <v>56</v>
      </c>
      <c r="J134" t="s">
        <v>57</v>
      </c>
      <c r="K134" t="s">
        <v>20</v>
      </c>
      <c r="L134">
        <v>7</v>
      </c>
      <c r="M134">
        <v>3680.23</v>
      </c>
      <c r="N134">
        <v>5</v>
      </c>
      <c r="U134" s="21"/>
      <c r="V134" s="21"/>
    </row>
    <row r="135" spans="1:22">
      <c r="A135">
        <v>10144</v>
      </c>
      <c r="B135">
        <v>1592</v>
      </c>
      <c r="C135" s="21">
        <v>45231</v>
      </c>
      <c r="D135" s="21">
        <v>45234</v>
      </c>
      <c r="E135" t="s">
        <v>39</v>
      </c>
      <c r="F135" t="s">
        <v>53</v>
      </c>
      <c r="G135" t="s">
        <v>29</v>
      </c>
      <c r="H135" t="s">
        <v>17</v>
      </c>
      <c r="I135" t="s">
        <v>18</v>
      </c>
      <c r="J135" t="s">
        <v>54</v>
      </c>
      <c r="K135" t="s">
        <v>32</v>
      </c>
      <c r="L135">
        <v>8</v>
      </c>
      <c r="M135">
        <v>3138.72</v>
      </c>
      <c r="N135">
        <v>20</v>
      </c>
      <c r="U135" s="21"/>
      <c r="V135" s="21"/>
    </row>
    <row r="136" spans="1:22">
      <c r="A136">
        <v>10145</v>
      </c>
      <c r="B136">
        <v>1391</v>
      </c>
      <c r="C136" s="21">
        <v>45245</v>
      </c>
      <c r="D136" s="21">
        <v>45246</v>
      </c>
      <c r="E136" t="s">
        <v>36</v>
      </c>
      <c r="F136" t="s">
        <v>37</v>
      </c>
      <c r="G136" t="s">
        <v>23</v>
      </c>
      <c r="H136" t="s">
        <v>34</v>
      </c>
      <c r="I136" t="s">
        <v>56</v>
      </c>
      <c r="J136" t="s">
        <v>58</v>
      </c>
      <c r="K136" t="s">
        <v>46</v>
      </c>
      <c r="L136">
        <v>6</v>
      </c>
      <c r="M136">
        <v>652.42999999999995</v>
      </c>
      <c r="N136">
        <v>10</v>
      </c>
      <c r="U136" s="21"/>
      <c r="V136" s="21"/>
    </row>
    <row r="137" spans="1:22">
      <c r="A137">
        <v>10146</v>
      </c>
      <c r="B137">
        <v>1674</v>
      </c>
      <c r="C137" s="21">
        <v>45137</v>
      </c>
      <c r="D137" s="21">
        <v>45145</v>
      </c>
      <c r="E137" t="s">
        <v>39</v>
      </c>
      <c r="F137" t="s">
        <v>40</v>
      </c>
      <c r="G137" t="s">
        <v>29</v>
      </c>
      <c r="H137" t="s">
        <v>41</v>
      </c>
      <c r="I137" t="s">
        <v>56</v>
      </c>
      <c r="J137" t="s">
        <v>61</v>
      </c>
      <c r="K137" t="s">
        <v>32</v>
      </c>
      <c r="L137">
        <v>4</v>
      </c>
      <c r="M137">
        <v>2326.87</v>
      </c>
      <c r="N137">
        <v>15</v>
      </c>
      <c r="U137" s="21"/>
      <c r="V137" s="21"/>
    </row>
    <row r="138" spans="1:22">
      <c r="A138">
        <v>10147</v>
      </c>
      <c r="B138">
        <v>1418</v>
      </c>
      <c r="C138" s="21">
        <v>45078</v>
      </c>
      <c r="D138" s="21">
        <v>45081</v>
      </c>
      <c r="E138" t="s">
        <v>21</v>
      </c>
      <c r="F138" t="s">
        <v>53</v>
      </c>
      <c r="G138" t="s">
        <v>23</v>
      </c>
      <c r="H138" t="s">
        <v>24</v>
      </c>
      <c r="I138" t="s">
        <v>30</v>
      </c>
      <c r="J138" t="s">
        <v>47</v>
      </c>
      <c r="K138" t="s">
        <v>20</v>
      </c>
      <c r="L138">
        <v>6</v>
      </c>
      <c r="M138">
        <v>1852.67</v>
      </c>
      <c r="N138">
        <v>5</v>
      </c>
      <c r="U138" s="21"/>
      <c r="V138" s="21"/>
    </row>
    <row r="139" spans="1:22">
      <c r="A139">
        <v>10148</v>
      </c>
      <c r="B139">
        <v>1288</v>
      </c>
      <c r="C139" s="21">
        <v>45035</v>
      </c>
      <c r="D139" s="21">
        <v>45043</v>
      </c>
      <c r="E139" t="s">
        <v>33</v>
      </c>
      <c r="F139" t="s">
        <v>28</v>
      </c>
      <c r="G139" t="s">
        <v>29</v>
      </c>
      <c r="H139" t="s">
        <v>43</v>
      </c>
      <c r="I139" t="s">
        <v>18</v>
      </c>
      <c r="J139" t="s">
        <v>19</v>
      </c>
      <c r="K139" t="s">
        <v>46</v>
      </c>
      <c r="L139">
        <v>3</v>
      </c>
      <c r="M139">
        <v>3219.26</v>
      </c>
      <c r="N139">
        <v>10</v>
      </c>
      <c r="U139" s="21"/>
      <c r="V139" s="21"/>
    </row>
    <row r="140" spans="1:22">
      <c r="A140">
        <v>10149</v>
      </c>
      <c r="B140">
        <v>1378</v>
      </c>
      <c r="C140" s="21">
        <v>45002</v>
      </c>
      <c r="D140" s="21">
        <v>45010</v>
      </c>
      <c r="E140" t="s">
        <v>21</v>
      </c>
      <c r="F140" t="s">
        <v>22</v>
      </c>
      <c r="G140" t="s">
        <v>29</v>
      </c>
      <c r="H140" t="s">
        <v>41</v>
      </c>
      <c r="I140" t="s">
        <v>56</v>
      </c>
      <c r="J140" t="s">
        <v>61</v>
      </c>
      <c r="K140" t="s">
        <v>32</v>
      </c>
      <c r="L140">
        <v>8</v>
      </c>
      <c r="M140">
        <v>2938.3</v>
      </c>
      <c r="N140">
        <v>15</v>
      </c>
      <c r="U140" s="21"/>
      <c r="V140" s="21"/>
    </row>
    <row r="141" spans="1:22">
      <c r="A141">
        <v>10150</v>
      </c>
      <c r="B141">
        <v>1772</v>
      </c>
      <c r="C141" s="21">
        <v>44956</v>
      </c>
      <c r="D141" s="21">
        <v>44961</v>
      </c>
      <c r="E141" t="s">
        <v>21</v>
      </c>
      <c r="F141" t="s">
        <v>53</v>
      </c>
      <c r="G141" t="s">
        <v>23</v>
      </c>
      <c r="H141" t="s">
        <v>17</v>
      </c>
      <c r="I141" t="s">
        <v>48</v>
      </c>
      <c r="J141" t="s">
        <v>50</v>
      </c>
      <c r="K141" t="s">
        <v>27</v>
      </c>
      <c r="L141">
        <v>2</v>
      </c>
      <c r="M141">
        <v>2808.06</v>
      </c>
      <c r="N141">
        <v>0</v>
      </c>
      <c r="U141" s="21"/>
      <c r="V141" s="21"/>
    </row>
    <row r="142" spans="1:22">
      <c r="A142">
        <v>10151</v>
      </c>
      <c r="B142">
        <v>1489</v>
      </c>
      <c r="C142" s="21">
        <v>45240</v>
      </c>
      <c r="D142" s="21">
        <v>45241</v>
      </c>
      <c r="E142" t="s">
        <v>33</v>
      </c>
      <c r="F142" t="s">
        <v>28</v>
      </c>
      <c r="G142" t="s">
        <v>29</v>
      </c>
      <c r="H142" t="s">
        <v>17</v>
      </c>
      <c r="I142" t="s">
        <v>48</v>
      </c>
      <c r="J142" t="s">
        <v>62</v>
      </c>
      <c r="K142" t="s">
        <v>46</v>
      </c>
      <c r="L142">
        <v>5</v>
      </c>
      <c r="M142">
        <v>1461.1</v>
      </c>
      <c r="N142">
        <v>15</v>
      </c>
      <c r="U142" s="21"/>
      <c r="V142" s="21"/>
    </row>
    <row r="143" spans="1:22">
      <c r="A143">
        <v>10152</v>
      </c>
      <c r="B143">
        <v>1230</v>
      </c>
      <c r="C143" s="21">
        <v>45043</v>
      </c>
      <c r="D143" s="21">
        <v>45050</v>
      </c>
      <c r="E143" t="s">
        <v>36</v>
      </c>
      <c r="F143" t="s">
        <v>15</v>
      </c>
      <c r="G143" t="s">
        <v>23</v>
      </c>
      <c r="H143" t="s">
        <v>43</v>
      </c>
      <c r="I143" t="s">
        <v>51</v>
      </c>
      <c r="J143" t="s">
        <v>55</v>
      </c>
      <c r="K143" t="s">
        <v>46</v>
      </c>
      <c r="L143">
        <v>1</v>
      </c>
      <c r="M143">
        <v>3249.11</v>
      </c>
      <c r="N143">
        <v>10</v>
      </c>
      <c r="U143" s="21"/>
      <c r="V143" s="21"/>
    </row>
    <row r="144" spans="1:22">
      <c r="A144">
        <v>10154</v>
      </c>
      <c r="B144">
        <v>1027</v>
      </c>
      <c r="C144" s="21">
        <v>45118</v>
      </c>
      <c r="D144" s="21">
        <v>45126</v>
      </c>
      <c r="E144" t="s">
        <v>39</v>
      </c>
      <c r="F144" t="s">
        <v>22</v>
      </c>
      <c r="G144" t="s">
        <v>16</v>
      </c>
      <c r="H144" t="s">
        <v>41</v>
      </c>
      <c r="I144" t="s">
        <v>18</v>
      </c>
      <c r="J144" t="s">
        <v>42</v>
      </c>
      <c r="K144" t="s">
        <v>44</v>
      </c>
      <c r="L144">
        <v>2</v>
      </c>
      <c r="M144">
        <v>764.56</v>
      </c>
      <c r="N144">
        <v>0</v>
      </c>
      <c r="U144" s="21"/>
      <c r="V144" s="21"/>
    </row>
    <row r="145" spans="1:22">
      <c r="A145">
        <v>10155</v>
      </c>
      <c r="B145">
        <v>1134</v>
      </c>
      <c r="C145" s="21">
        <v>44945</v>
      </c>
      <c r="D145" s="21">
        <v>44954</v>
      </c>
      <c r="E145" t="s">
        <v>15</v>
      </c>
      <c r="F145" t="s">
        <v>28</v>
      </c>
      <c r="G145" t="s">
        <v>29</v>
      </c>
      <c r="H145" t="s">
        <v>24</v>
      </c>
      <c r="I145" t="s">
        <v>51</v>
      </c>
      <c r="J145" t="s">
        <v>55</v>
      </c>
      <c r="K145" t="s">
        <v>20</v>
      </c>
      <c r="L145">
        <v>4</v>
      </c>
      <c r="M145">
        <v>1442.15</v>
      </c>
      <c r="N145">
        <v>15</v>
      </c>
      <c r="U145" s="21"/>
      <c r="V145" s="21"/>
    </row>
    <row r="146" spans="1:22">
      <c r="A146">
        <v>10156</v>
      </c>
      <c r="B146">
        <v>1200</v>
      </c>
      <c r="C146" s="21">
        <v>45099</v>
      </c>
      <c r="D146" s="21">
        <v>45106</v>
      </c>
      <c r="E146" t="s">
        <v>39</v>
      </c>
      <c r="F146" t="s">
        <v>37</v>
      </c>
      <c r="G146" t="s">
        <v>23</v>
      </c>
      <c r="H146" t="s">
        <v>17</v>
      </c>
      <c r="I146" t="s">
        <v>56</v>
      </c>
      <c r="J146" t="s">
        <v>58</v>
      </c>
      <c r="K146" t="s">
        <v>44</v>
      </c>
      <c r="L146">
        <v>6</v>
      </c>
      <c r="M146">
        <v>445.71</v>
      </c>
      <c r="N146">
        <v>15</v>
      </c>
      <c r="U146" s="21"/>
      <c r="V146" s="21"/>
    </row>
    <row r="147" spans="1:22">
      <c r="A147">
        <v>10157</v>
      </c>
      <c r="B147">
        <v>1839</v>
      </c>
      <c r="C147" s="21">
        <v>45154</v>
      </c>
      <c r="D147" s="21">
        <v>45161</v>
      </c>
      <c r="E147" t="s">
        <v>15</v>
      </c>
      <c r="F147" t="s">
        <v>22</v>
      </c>
      <c r="G147" t="s">
        <v>29</v>
      </c>
      <c r="H147" t="s">
        <v>24</v>
      </c>
      <c r="I147" t="s">
        <v>18</v>
      </c>
      <c r="J147" t="s">
        <v>19</v>
      </c>
      <c r="K147" t="s">
        <v>32</v>
      </c>
      <c r="L147">
        <v>8</v>
      </c>
      <c r="M147">
        <v>1054.73</v>
      </c>
      <c r="N147">
        <v>0</v>
      </c>
      <c r="U147" s="21"/>
      <c r="V147" s="21"/>
    </row>
    <row r="148" spans="1:22">
      <c r="A148">
        <v>10158</v>
      </c>
      <c r="B148">
        <v>1779</v>
      </c>
      <c r="C148" s="21">
        <v>45276</v>
      </c>
      <c r="D148" s="21">
        <v>45277</v>
      </c>
      <c r="E148" t="s">
        <v>21</v>
      </c>
      <c r="F148" t="s">
        <v>40</v>
      </c>
      <c r="G148" t="s">
        <v>23</v>
      </c>
      <c r="H148" t="s">
        <v>17</v>
      </c>
      <c r="I148" t="s">
        <v>48</v>
      </c>
      <c r="J148" t="s">
        <v>62</v>
      </c>
      <c r="K148" t="s">
        <v>27</v>
      </c>
      <c r="L148">
        <v>8</v>
      </c>
      <c r="M148">
        <v>3346.08</v>
      </c>
      <c r="N148">
        <v>15</v>
      </c>
      <c r="U148" s="21"/>
      <c r="V148" s="21"/>
    </row>
    <row r="149" spans="1:22">
      <c r="A149">
        <v>10159</v>
      </c>
      <c r="B149">
        <v>1929</v>
      </c>
      <c r="C149" s="21">
        <v>45109</v>
      </c>
      <c r="D149" s="21">
        <v>45113</v>
      </c>
      <c r="E149" t="s">
        <v>33</v>
      </c>
      <c r="F149" t="s">
        <v>15</v>
      </c>
      <c r="G149" t="s">
        <v>23</v>
      </c>
      <c r="H149" t="s">
        <v>24</v>
      </c>
      <c r="I149" t="s">
        <v>48</v>
      </c>
      <c r="J149" t="s">
        <v>66</v>
      </c>
      <c r="K149" t="s">
        <v>44</v>
      </c>
      <c r="L149">
        <v>6</v>
      </c>
      <c r="M149">
        <v>3800.77</v>
      </c>
      <c r="N149">
        <v>0</v>
      </c>
      <c r="U149" s="21"/>
      <c r="V149" s="21"/>
    </row>
    <row r="150" spans="1:22">
      <c r="A150">
        <v>10160</v>
      </c>
      <c r="B150">
        <v>1032</v>
      </c>
      <c r="C150" s="21">
        <v>45039</v>
      </c>
      <c r="D150" s="21">
        <v>45041</v>
      </c>
      <c r="E150" t="s">
        <v>21</v>
      </c>
      <c r="F150" t="s">
        <v>37</v>
      </c>
      <c r="G150" t="s">
        <v>16</v>
      </c>
      <c r="H150" t="s">
        <v>43</v>
      </c>
      <c r="I150" t="s">
        <v>30</v>
      </c>
      <c r="J150" t="s">
        <v>47</v>
      </c>
      <c r="K150" t="s">
        <v>46</v>
      </c>
      <c r="L150">
        <v>4</v>
      </c>
      <c r="M150">
        <v>1322.72</v>
      </c>
      <c r="N150">
        <v>5</v>
      </c>
      <c r="U150" s="21"/>
      <c r="V150" s="21"/>
    </row>
    <row r="151" spans="1:22">
      <c r="A151">
        <v>10161</v>
      </c>
      <c r="B151">
        <v>1047</v>
      </c>
      <c r="C151" s="21">
        <v>45109</v>
      </c>
      <c r="D151" s="21">
        <v>45111</v>
      </c>
      <c r="E151" t="s">
        <v>45</v>
      </c>
      <c r="F151" t="s">
        <v>40</v>
      </c>
      <c r="G151" t="s">
        <v>16</v>
      </c>
      <c r="H151" t="s">
        <v>34</v>
      </c>
      <c r="I151" t="s">
        <v>18</v>
      </c>
      <c r="J151" t="s">
        <v>19</v>
      </c>
      <c r="K151" t="s">
        <v>32</v>
      </c>
      <c r="L151">
        <v>8</v>
      </c>
      <c r="M151">
        <v>1168.3900000000001</v>
      </c>
      <c r="N151">
        <v>10</v>
      </c>
      <c r="U151" s="21"/>
      <c r="V151" s="21"/>
    </row>
    <row r="152" spans="1:22">
      <c r="A152">
        <v>10162</v>
      </c>
      <c r="B152">
        <v>1502</v>
      </c>
      <c r="C152" s="21">
        <v>45072</v>
      </c>
      <c r="D152" s="21">
        <v>45074</v>
      </c>
      <c r="E152" t="s">
        <v>36</v>
      </c>
      <c r="F152" t="s">
        <v>28</v>
      </c>
      <c r="G152" t="s">
        <v>23</v>
      </c>
      <c r="H152" t="s">
        <v>43</v>
      </c>
      <c r="I152" t="s">
        <v>56</v>
      </c>
      <c r="J152" t="s">
        <v>57</v>
      </c>
      <c r="K152" t="s">
        <v>32</v>
      </c>
      <c r="L152">
        <v>8</v>
      </c>
      <c r="M152">
        <v>1227.5899999999999</v>
      </c>
      <c r="N152">
        <v>5</v>
      </c>
      <c r="U152" s="21"/>
      <c r="V152" s="21"/>
    </row>
    <row r="153" spans="1:22">
      <c r="A153">
        <v>10163</v>
      </c>
      <c r="B153">
        <v>1406</v>
      </c>
      <c r="C153" s="21">
        <v>45245</v>
      </c>
      <c r="D153" s="21">
        <v>45249</v>
      </c>
      <c r="E153" t="s">
        <v>15</v>
      </c>
      <c r="F153" t="s">
        <v>22</v>
      </c>
      <c r="G153" t="s">
        <v>29</v>
      </c>
      <c r="H153" t="s">
        <v>43</v>
      </c>
      <c r="I153" t="s">
        <v>51</v>
      </c>
      <c r="J153" t="s">
        <v>52</v>
      </c>
      <c r="K153" t="s">
        <v>44</v>
      </c>
      <c r="L153">
        <v>1</v>
      </c>
      <c r="M153">
        <v>1219.22</v>
      </c>
      <c r="N153">
        <v>20</v>
      </c>
      <c r="U153" s="21"/>
      <c r="V153" s="21"/>
    </row>
    <row r="154" spans="1:22">
      <c r="A154">
        <v>10164</v>
      </c>
      <c r="B154">
        <v>1573</v>
      </c>
      <c r="C154" s="21">
        <v>45042</v>
      </c>
      <c r="D154" s="21">
        <v>45043</v>
      </c>
      <c r="E154" t="s">
        <v>39</v>
      </c>
      <c r="F154" t="s">
        <v>15</v>
      </c>
      <c r="G154" t="s">
        <v>23</v>
      </c>
      <c r="H154" t="s">
        <v>34</v>
      </c>
      <c r="I154" t="s">
        <v>51</v>
      </c>
      <c r="J154" t="s">
        <v>63</v>
      </c>
      <c r="K154" t="s">
        <v>44</v>
      </c>
      <c r="L154">
        <v>4</v>
      </c>
      <c r="M154">
        <v>288.33</v>
      </c>
      <c r="N154">
        <v>20</v>
      </c>
      <c r="U154" s="21"/>
      <c r="V154" s="21"/>
    </row>
    <row r="155" spans="1:22">
      <c r="A155">
        <v>10165</v>
      </c>
      <c r="B155">
        <v>1727</v>
      </c>
      <c r="C155" s="21">
        <v>45039</v>
      </c>
      <c r="D155" s="21">
        <v>45043</v>
      </c>
      <c r="E155" t="s">
        <v>33</v>
      </c>
      <c r="F155" t="s">
        <v>37</v>
      </c>
      <c r="G155" t="s">
        <v>23</v>
      </c>
      <c r="H155" t="s">
        <v>34</v>
      </c>
      <c r="I155" t="s">
        <v>56</v>
      </c>
      <c r="J155" t="s">
        <v>61</v>
      </c>
      <c r="K155" t="s">
        <v>27</v>
      </c>
      <c r="L155">
        <v>4</v>
      </c>
      <c r="M155">
        <v>3718.63</v>
      </c>
      <c r="N155">
        <v>20</v>
      </c>
      <c r="U155" s="21"/>
      <c r="V155" s="21"/>
    </row>
    <row r="156" spans="1:22">
      <c r="A156">
        <v>10166</v>
      </c>
      <c r="B156">
        <v>1804</v>
      </c>
      <c r="C156" s="21">
        <v>45177</v>
      </c>
      <c r="D156" s="21">
        <v>45179</v>
      </c>
      <c r="E156" t="s">
        <v>15</v>
      </c>
      <c r="F156" t="s">
        <v>40</v>
      </c>
      <c r="G156" t="s">
        <v>29</v>
      </c>
      <c r="H156" t="s">
        <v>41</v>
      </c>
      <c r="I156" t="s">
        <v>25</v>
      </c>
      <c r="J156" t="s">
        <v>26</v>
      </c>
      <c r="K156" t="s">
        <v>20</v>
      </c>
      <c r="L156">
        <v>7</v>
      </c>
      <c r="M156">
        <v>972.74</v>
      </c>
      <c r="N156">
        <v>0</v>
      </c>
      <c r="U156" s="21"/>
      <c r="V156" s="21"/>
    </row>
    <row r="157" spans="1:22">
      <c r="A157">
        <v>10167</v>
      </c>
      <c r="B157">
        <v>1098</v>
      </c>
      <c r="C157" s="21">
        <v>45177</v>
      </c>
      <c r="D157" s="21">
        <v>45182</v>
      </c>
      <c r="E157" t="s">
        <v>39</v>
      </c>
      <c r="F157" t="s">
        <v>40</v>
      </c>
      <c r="G157" t="s">
        <v>29</v>
      </c>
      <c r="H157" t="s">
        <v>41</v>
      </c>
      <c r="I157" t="s">
        <v>30</v>
      </c>
      <c r="J157" t="s">
        <v>31</v>
      </c>
      <c r="K157" t="s">
        <v>44</v>
      </c>
      <c r="L157">
        <v>7</v>
      </c>
      <c r="M157">
        <v>1767.02</v>
      </c>
      <c r="N157">
        <v>15</v>
      </c>
      <c r="U157" s="21"/>
      <c r="V157" s="21"/>
    </row>
    <row r="158" spans="1:22">
      <c r="A158">
        <v>10168</v>
      </c>
      <c r="B158">
        <v>1683</v>
      </c>
      <c r="C158" s="21">
        <v>45229</v>
      </c>
      <c r="D158" s="21">
        <v>45232</v>
      </c>
      <c r="E158" t="s">
        <v>36</v>
      </c>
      <c r="F158" t="s">
        <v>15</v>
      </c>
      <c r="G158" t="s">
        <v>29</v>
      </c>
      <c r="H158" t="s">
        <v>43</v>
      </c>
      <c r="I158" t="s">
        <v>51</v>
      </c>
      <c r="J158" t="s">
        <v>55</v>
      </c>
      <c r="K158" t="s">
        <v>44</v>
      </c>
      <c r="L158">
        <v>8</v>
      </c>
      <c r="M158">
        <v>187.29</v>
      </c>
      <c r="N158">
        <v>5</v>
      </c>
      <c r="U158" s="21"/>
      <c r="V158" s="21"/>
    </row>
    <row r="159" spans="1:22">
      <c r="A159">
        <v>10170</v>
      </c>
      <c r="B159">
        <v>1725</v>
      </c>
      <c r="C159" s="21">
        <v>45044</v>
      </c>
      <c r="D159" s="21">
        <v>45048</v>
      </c>
      <c r="E159" t="s">
        <v>36</v>
      </c>
      <c r="F159" t="s">
        <v>15</v>
      </c>
      <c r="G159" t="s">
        <v>23</v>
      </c>
      <c r="H159" t="s">
        <v>17</v>
      </c>
      <c r="I159" t="s">
        <v>30</v>
      </c>
      <c r="J159" t="s">
        <v>64</v>
      </c>
      <c r="K159" t="s">
        <v>32</v>
      </c>
      <c r="L159">
        <v>7</v>
      </c>
      <c r="M159">
        <v>2964.96</v>
      </c>
      <c r="N159">
        <v>5</v>
      </c>
      <c r="U159" s="21"/>
      <c r="V159" s="21"/>
    </row>
    <row r="160" spans="1:22">
      <c r="A160">
        <v>10171</v>
      </c>
      <c r="B160">
        <v>1986</v>
      </c>
      <c r="C160" s="21">
        <v>45227</v>
      </c>
      <c r="D160" s="21">
        <v>45228</v>
      </c>
      <c r="E160" t="s">
        <v>14</v>
      </c>
      <c r="F160" t="s">
        <v>40</v>
      </c>
      <c r="G160" t="s">
        <v>23</v>
      </c>
      <c r="H160" t="s">
        <v>17</v>
      </c>
      <c r="I160" t="s">
        <v>18</v>
      </c>
      <c r="J160" t="s">
        <v>42</v>
      </c>
      <c r="K160" t="s">
        <v>20</v>
      </c>
      <c r="L160">
        <v>8</v>
      </c>
      <c r="M160">
        <v>3795.01</v>
      </c>
      <c r="N160">
        <v>5</v>
      </c>
      <c r="U160" s="21"/>
      <c r="V160" s="21"/>
    </row>
    <row r="161" spans="1:22">
      <c r="A161">
        <v>10172</v>
      </c>
      <c r="B161">
        <v>1546</v>
      </c>
      <c r="C161" s="21">
        <v>45087</v>
      </c>
      <c r="D161" s="21">
        <v>45088</v>
      </c>
      <c r="E161" t="s">
        <v>45</v>
      </c>
      <c r="F161" t="s">
        <v>53</v>
      </c>
      <c r="G161" t="s">
        <v>16</v>
      </c>
      <c r="H161" t="s">
        <v>41</v>
      </c>
      <c r="I161" t="s">
        <v>48</v>
      </c>
      <c r="J161" t="s">
        <v>62</v>
      </c>
      <c r="K161" t="s">
        <v>46</v>
      </c>
      <c r="L161">
        <v>9</v>
      </c>
      <c r="M161">
        <v>3159.22</v>
      </c>
      <c r="N161">
        <v>20</v>
      </c>
      <c r="U161" s="21"/>
      <c r="V161" s="21"/>
    </row>
    <row r="162" spans="1:22">
      <c r="A162">
        <v>10173</v>
      </c>
      <c r="B162">
        <v>1960</v>
      </c>
      <c r="C162" s="21">
        <v>45124</v>
      </c>
      <c r="D162" s="21">
        <v>45127</v>
      </c>
      <c r="E162" t="s">
        <v>14</v>
      </c>
      <c r="F162" t="s">
        <v>37</v>
      </c>
      <c r="G162" t="s">
        <v>23</v>
      </c>
      <c r="H162" t="s">
        <v>41</v>
      </c>
      <c r="I162" t="s">
        <v>30</v>
      </c>
      <c r="J162" t="s">
        <v>64</v>
      </c>
      <c r="K162" t="s">
        <v>27</v>
      </c>
      <c r="L162">
        <v>3</v>
      </c>
      <c r="M162">
        <v>1357.77</v>
      </c>
      <c r="N162">
        <v>5</v>
      </c>
      <c r="U162" s="21"/>
      <c r="V162" s="21"/>
    </row>
    <row r="163" spans="1:22">
      <c r="A163">
        <v>10174</v>
      </c>
      <c r="B163">
        <v>1738</v>
      </c>
      <c r="C163" s="21">
        <v>45186</v>
      </c>
      <c r="D163" s="21">
        <v>45195</v>
      </c>
      <c r="E163" t="s">
        <v>33</v>
      </c>
      <c r="F163" t="s">
        <v>15</v>
      </c>
      <c r="G163" t="s">
        <v>29</v>
      </c>
      <c r="H163" t="s">
        <v>17</v>
      </c>
      <c r="I163" t="s">
        <v>51</v>
      </c>
      <c r="J163" t="s">
        <v>52</v>
      </c>
      <c r="K163" t="s">
        <v>27</v>
      </c>
      <c r="L163">
        <v>3</v>
      </c>
      <c r="M163">
        <v>1104.31</v>
      </c>
      <c r="N163">
        <v>15</v>
      </c>
      <c r="U163" s="21"/>
      <c r="V163" s="21"/>
    </row>
    <row r="164" spans="1:22">
      <c r="A164">
        <v>10175</v>
      </c>
      <c r="B164">
        <v>1612</v>
      </c>
      <c r="C164" s="21">
        <v>45074</v>
      </c>
      <c r="D164" s="21">
        <v>45081</v>
      </c>
      <c r="E164" t="s">
        <v>15</v>
      </c>
      <c r="F164" t="s">
        <v>40</v>
      </c>
      <c r="G164" t="s">
        <v>16</v>
      </c>
      <c r="H164" t="s">
        <v>17</v>
      </c>
      <c r="I164" t="s">
        <v>30</v>
      </c>
      <c r="J164" t="s">
        <v>31</v>
      </c>
      <c r="K164" t="s">
        <v>44</v>
      </c>
      <c r="L164">
        <v>4</v>
      </c>
      <c r="M164">
        <v>2836.21</v>
      </c>
      <c r="N164">
        <v>20</v>
      </c>
      <c r="U164" s="21"/>
      <c r="V164" s="21"/>
    </row>
    <row r="165" spans="1:22">
      <c r="A165">
        <v>10178</v>
      </c>
      <c r="B165">
        <v>1642</v>
      </c>
      <c r="C165" s="21">
        <v>45124</v>
      </c>
      <c r="D165" s="21">
        <v>45126</v>
      </c>
      <c r="E165" t="s">
        <v>39</v>
      </c>
      <c r="F165" t="s">
        <v>28</v>
      </c>
      <c r="G165" t="s">
        <v>16</v>
      </c>
      <c r="H165" t="s">
        <v>17</v>
      </c>
      <c r="I165" t="s">
        <v>25</v>
      </c>
      <c r="J165" t="s">
        <v>60</v>
      </c>
      <c r="K165" t="s">
        <v>44</v>
      </c>
      <c r="L165">
        <v>7</v>
      </c>
      <c r="M165">
        <v>174.09</v>
      </c>
      <c r="N165">
        <v>10</v>
      </c>
      <c r="U165" s="21"/>
      <c r="V165" s="21"/>
    </row>
    <row r="166" spans="1:22">
      <c r="A166">
        <v>10179</v>
      </c>
      <c r="B166">
        <v>1768</v>
      </c>
      <c r="C166" s="21">
        <v>44973</v>
      </c>
      <c r="D166" s="21">
        <v>44976</v>
      </c>
      <c r="E166" t="s">
        <v>36</v>
      </c>
      <c r="F166" t="s">
        <v>15</v>
      </c>
      <c r="G166" t="s">
        <v>29</v>
      </c>
      <c r="H166" t="s">
        <v>24</v>
      </c>
      <c r="I166" t="s">
        <v>30</v>
      </c>
      <c r="J166" t="s">
        <v>31</v>
      </c>
      <c r="K166" t="s">
        <v>20</v>
      </c>
      <c r="L166">
        <v>9</v>
      </c>
      <c r="M166">
        <v>388.26</v>
      </c>
      <c r="N166">
        <v>10</v>
      </c>
      <c r="U166" s="21"/>
      <c r="V166" s="21"/>
    </row>
    <row r="167" spans="1:22">
      <c r="A167">
        <v>10180</v>
      </c>
      <c r="B167">
        <v>1004</v>
      </c>
      <c r="C167" s="21">
        <v>45004</v>
      </c>
      <c r="D167" s="21">
        <v>45006</v>
      </c>
      <c r="E167" t="s">
        <v>14</v>
      </c>
      <c r="F167" t="s">
        <v>28</v>
      </c>
      <c r="G167" t="s">
        <v>16</v>
      </c>
      <c r="H167" t="s">
        <v>34</v>
      </c>
      <c r="I167" t="s">
        <v>18</v>
      </c>
      <c r="J167" t="s">
        <v>42</v>
      </c>
      <c r="K167" t="s">
        <v>44</v>
      </c>
      <c r="L167">
        <v>8</v>
      </c>
      <c r="M167">
        <v>2211.17</v>
      </c>
      <c r="N167">
        <v>10</v>
      </c>
      <c r="U167" s="21"/>
      <c r="V167" s="21"/>
    </row>
    <row r="168" spans="1:22">
      <c r="A168">
        <v>10181</v>
      </c>
      <c r="B168">
        <v>1217</v>
      </c>
      <c r="C168" s="21">
        <v>45050</v>
      </c>
      <c r="D168" s="21">
        <v>45053</v>
      </c>
      <c r="E168" t="s">
        <v>14</v>
      </c>
      <c r="F168" t="s">
        <v>22</v>
      </c>
      <c r="G168" t="s">
        <v>16</v>
      </c>
      <c r="H168" t="s">
        <v>41</v>
      </c>
      <c r="I168" t="s">
        <v>48</v>
      </c>
      <c r="J168" t="s">
        <v>49</v>
      </c>
      <c r="K168" t="s">
        <v>32</v>
      </c>
      <c r="L168">
        <v>5</v>
      </c>
      <c r="M168">
        <v>2329.38</v>
      </c>
      <c r="N168">
        <v>20</v>
      </c>
      <c r="U168" s="21"/>
      <c r="V168" s="21"/>
    </row>
    <row r="169" spans="1:22">
      <c r="A169">
        <v>10183</v>
      </c>
      <c r="B169">
        <v>1766</v>
      </c>
      <c r="C169" s="21">
        <v>45285</v>
      </c>
      <c r="D169" s="21">
        <v>45294</v>
      </c>
      <c r="E169" t="s">
        <v>14</v>
      </c>
      <c r="F169" t="s">
        <v>22</v>
      </c>
      <c r="G169" t="s">
        <v>29</v>
      </c>
      <c r="H169" t="s">
        <v>17</v>
      </c>
      <c r="I169" t="s">
        <v>30</v>
      </c>
      <c r="J169" t="s">
        <v>38</v>
      </c>
      <c r="K169" t="s">
        <v>46</v>
      </c>
      <c r="L169">
        <v>7</v>
      </c>
      <c r="M169">
        <v>658.07</v>
      </c>
      <c r="N169">
        <v>20</v>
      </c>
      <c r="U169" s="21"/>
      <c r="V169" s="21"/>
    </row>
    <row r="170" spans="1:22">
      <c r="A170">
        <v>10184</v>
      </c>
      <c r="B170">
        <v>1397</v>
      </c>
      <c r="C170" s="21">
        <v>45063</v>
      </c>
      <c r="D170" s="21">
        <v>45072</v>
      </c>
      <c r="E170" t="s">
        <v>21</v>
      </c>
      <c r="F170" t="s">
        <v>53</v>
      </c>
      <c r="G170" t="s">
        <v>16</v>
      </c>
      <c r="H170" t="s">
        <v>43</v>
      </c>
      <c r="I170" t="s">
        <v>51</v>
      </c>
      <c r="J170" t="s">
        <v>63</v>
      </c>
      <c r="K170" t="s">
        <v>20</v>
      </c>
      <c r="L170">
        <v>5</v>
      </c>
      <c r="M170">
        <v>2125.75</v>
      </c>
      <c r="N170">
        <v>15</v>
      </c>
      <c r="U170" s="21"/>
      <c r="V170" s="21"/>
    </row>
    <row r="171" spans="1:22">
      <c r="A171">
        <v>10185</v>
      </c>
      <c r="B171">
        <v>1870</v>
      </c>
      <c r="C171" s="21">
        <v>45016</v>
      </c>
      <c r="D171" s="21">
        <v>45023</v>
      </c>
      <c r="E171" t="s">
        <v>33</v>
      </c>
      <c r="F171" t="s">
        <v>15</v>
      </c>
      <c r="G171" t="s">
        <v>16</v>
      </c>
      <c r="H171" t="s">
        <v>17</v>
      </c>
      <c r="I171" t="s">
        <v>30</v>
      </c>
      <c r="J171" t="s">
        <v>38</v>
      </c>
      <c r="K171" t="s">
        <v>46</v>
      </c>
      <c r="L171">
        <v>7</v>
      </c>
      <c r="M171">
        <v>898.62</v>
      </c>
      <c r="N171">
        <v>0</v>
      </c>
      <c r="U171" s="21"/>
      <c r="V171" s="21"/>
    </row>
    <row r="172" spans="1:22">
      <c r="A172">
        <v>10186</v>
      </c>
      <c r="B172">
        <v>1794</v>
      </c>
      <c r="C172" s="21">
        <v>45251</v>
      </c>
      <c r="D172" s="21">
        <v>45254</v>
      </c>
      <c r="E172" t="s">
        <v>36</v>
      </c>
      <c r="F172" t="s">
        <v>40</v>
      </c>
      <c r="G172" t="s">
        <v>29</v>
      </c>
      <c r="H172" t="s">
        <v>24</v>
      </c>
      <c r="I172" t="s">
        <v>51</v>
      </c>
      <c r="J172" t="s">
        <v>55</v>
      </c>
      <c r="K172" t="s">
        <v>46</v>
      </c>
      <c r="L172">
        <v>1</v>
      </c>
      <c r="M172">
        <v>508.81</v>
      </c>
      <c r="N172">
        <v>0</v>
      </c>
      <c r="U172" s="21"/>
      <c r="V172" s="21"/>
    </row>
    <row r="173" spans="1:22">
      <c r="A173">
        <v>10187</v>
      </c>
      <c r="B173">
        <v>1392</v>
      </c>
      <c r="C173" s="21">
        <v>44987</v>
      </c>
      <c r="D173" s="21">
        <v>44991</v>
      </c>
      <c r="E173" t="s">
        <v>15</v>
      </c>
      <c r="F173" t="s">
        <v>40</v>
      </c>
      <c r="G173" t="s">
        <v>16</v>
      </c>
      <c r="H173" t="s">
        <v>43</v>
      </c>
      <c r="I173" t="s">
        <v>18</v>
      </c>
      <c r="J173" t="s">
        <v>42</v>
      </c>
      <c r="K173" t="s">
        <v>32</v>
      </c>
      <c r="L173">
        <v>1</v>
      </c>
      <c r="M173">
        <v>1730.41</v>
      </c>
      <c r="N173">
        <v>10</v>
      </c>
      <c r="U173" s="21"/>
      <c r="V173" s="21"/>
    </row>
    <row r="174" spans="1:22">
      <c r="A174">
        <v>10188</v>
      </c>
      <c r="B174">
        <v>1206</v>
      </c>
      <c r="C174" s="21">
        <v>45064</v>
      </c>
      <c r="D174" s="21">
        <v>45070</v>
      </c>
      <c r="E174" t="s">
        <v>39</v>
      </c>
      <c r="F174" t="s">
        <v>53</v>
      </c>
      <c r="G174" t="s">
        <v>16</v>
      </c>
      <c r="H174" t="s">
        <v>24</v>
      </c>
      <c r="I174" t="s">
        <v>51</v>
      </c>
      <c r="J174" t="s">
        <v>52</v>
      </c>
      <c r="K174" t="s">
        <v>20</v>
      </c>
      <c r="L174">
        <v>3</v>
      </c>
      <c r="M174">
        <v>778.85</v>
      </c>
      <c r="N174">
        <v>10</v>
      </c>
      <c r="U174" s="21"/>
      <c r="V174" s="21"/>
    </row>
    <row r="175" spans="1:22">
      <c r="A175">
        <v>10190</v>
      </c>
      <c r="B175">
        <v>1857</v>
      </c>
      <c r="C175" s="21">
        <v>45185</v>
      </c>
      <c r="D175" s="21">
        <v>45187</v>
      </c>
      <c r="E175" t="s">
        <v>33</v>
      </c>
      <c r="F175" t="s">
        <v>53</v>
      </c>
      <c r="G175" t="s">
        <v>29</v>
      </c>
      <c r="H175" t="s">
        <v>24</v>
      </c>
      <c r="I175" t="s">
        <v>48</v>
      </c>
      <c r="J175" t="s">
        <v>50</v>
      </c>
      <c r="K175" t="s">
        <v>20</v>
      </c>
      <c r="L175">
        <v>2</v>
      </c>
      <c r="M175">
        <v>1372.59</v>
      </c>
      <c r="N175">
        <v>5</v>
      </c>
      <c r="U175" s="21"/>
      <c r="V175" s="21"/>
    </row>
    <row r="176" spans="1:22">
      <c r="A176">
        <v>10191</v>
      </c>
      <c r="B176">
        <v>1553</v>
      </c>
      <c r="C176" s="21">
        <v>45033</v>
      </c>
      <c r="D176" s="21">
        <v>45039</v>
      </c>
      <c r="E176" t="s">
        <v>39</v>
      </c>
      <c r="F176" t="s">
        <v>28</v>
      </c>
      <c r="G176" t="s">
        <v>29</v>
      </c>
      <c r="H176" t="s">
        <v>34</v>
      </c>
      <c r="I176" t="s">
        <v>51</v>
      </c>
      <c r="J176" t="s">
        <v>55</v>
      </c>
      <c r="K176" t="s">
        <v>20</v>
      </c>
      <c r="L176">
        <v>7</v>
      </c>
      <c r="M176">
        <v>1148.6500000000001</v>
      </c>
      <c r="N176">
        <v>15</v>
      </c>
      <c r="U176" s="21"/>
      <c r="V176" s="21"/>
    </row>
    <row r="177" spans="1:22">
      <c r="A177">
        <v>10192</v>
      </c>
      <c r="B177">
        <v>1891</v>
      </c>
      <c r="C177" s="21">
        <v>45039</v>
      </c>
      <c r="D177" s="21">
        <v>45042</v>
      </c>
      <c r="E177" t="s">
        <v>14</v>
      </c>
      <c r="F177" t="s">
        <v>28</v>
      </c>
      <c r="G177" t="s">
        <v>29</v>
      </c>
      <c r="H177" t="s">
        <v>34</v>
      </c>
      <c r="I177" t="s">
        <v>51</v>
      </c>
      <c r="J177" t="s">
        <v>59</v>
      </c>
      <c r="K177" t="s">
        <v>20</v>
      </c>
      <c r="L177">
        <v>2</v>
      </c>
      <c r="M177">
        <v>487.23</v>
      </c>
      <c r="N177">
        <v>15</v>
      </c>
      <c r="U177" s="21"/>
      <c r="V177" s="21"/>
    </row>
    <row r="178" spans="1:22">
      <c r="A178">
        <v>10193</v>
      </c>
      <c r="B178">
        <v>1460</v>
      </c>
      <c r="C178" s="21">
        <v>45276</v>
      </c>
      <c r="D178" s="21">
        <v>45284</v>
      </c>
      <c r="E178" t="s">
        <v>45</v>
      </c>
      <c r="F178" t="s">
        <v>37</v>
      </c>
      <c r="G178" t="s">
        <v>29</v>
      </c>
      <c r="H178" t="s">
        <v>24</v>
      </c>
      <c r="I178" t="s">
        <v>48</v>
      </c>
      <c r="J178" t="s">
        <v>50</v>
      </c>
      <c r="K178" t="s">
        <v>32</v>
      </c>
      <c r="L178">
        <v>4</v>
      </c>
      <c r="M178">
        <v>496.18</v>
      </c>
      <c r="N178">
        <v>15</v>
      </c>
      <c r="U178" s="21"/>
      <c r="V178" s="21"/>
    </row>
    <row r="179" spans="1:22">
      <c r="A179">
        <v>10194</v>
      </c>
      <c r="B179">
        <v>1690</v>
      </c>
      <c r="C179" s="21">
        <v>45180</v>
      </c>
      <c r="D179" s="21">
        <v>45182</v>
      </c>
      <c r="E179" t="s">
        <v>33</v>
      </c>
      <c r="F179" t="s">
        <v>40</v>
      </c>
      <c r="G179" t="s">
        <v>23</v>
      </c>
      <c r="H179" t="s">
        <v>24</v>
      </c>
      <c r="I179" t="s">
        <v>56</v>
      </c>
      <c r="J179" t="s">
        <v>58</v>
      </c>
      <c r="K179" t="s">
        <v>44</v>
      </c>
      <c r="L179">
        <v>2</v>
      </c>
      <c r="M179">
        <v>894.01</v>
      </c>
      <c r="N179">
        <v>15</v>
      </c>
      <c r="U179" s="21"/>
      <c r="V179" s="21"/>
    </row>
    <row r="180" spans="1:22">
      <c r="A180">
        <v>10195</v>
      </c>
      <c r="B180">
        <v>1574</v>
      </c>
      <c r="C180" s="21">
        <v>45044</v>
      </c>
      <c r="D180" s="21">
        <v>45045</v>
      </c>
      <c r="E180" t="s">
        <v>33</v>
      </c>
      <c r="F180" t="s">
        <v>22</v>
      </c>
      <c r="G180" t="s">
        <v>16</v>
      </c>
      <c r="H180" t="s">
        <v>34</v>
      </c>
      <c r="I180" t="s">
        <v>30</v>
      </c>
      <c r="J180" t="s">
        <v>64</v>
      </c>
      <c r="K180" t="s">
        <v>46</v>
      </c>
      <c r="L180">
        <v>6</v>
      </c>
      <c r="M180">
        <v>344.65</v>
      </c>
      <c r="N180">
        <v>10</v>
      </c>
      <c r="U180" s="21"/>
      <c r="V180" s="21"/>
    </row>
    <row r="181" spans="1:22">
      <c r="A181">
        <v>10196</v>
      </c>
      <c r="B181">
        <v>1863</v>
      </c>
      <c r="C181" s="21">
        <v>45124</v>
      </c>
      <c r="D181" s="21">
        <v>45133</v>
      </c>
      <c r="E181" t="s">
        <v>36</v>
      </c>
      <c r="F181" t="s">
        <v>28</v>
      </c>
      <c r="G181" t="s">
        <v>29</v>
      </c>
      <c r="H181" t="s">
        <v>43</v>
      </c>
      <c r="I181" t="s">
        <v>51</v>
      </c>
      <c r="J181" t="s">
        <v>52</v>
      </c>
      <c r="K181" t="s">
        <v>20</v>
      </c>
      <c r="L181">
        <v>8</v>
      </c>
      <c r="M181">
        <v>2561.86</v>
      </c>
      <c r="N181">
        <v>0</v>
      </c>
      <c r="U181" s="21"/>
      <c r="V181" s="21"/>
    </row>
    <row r="182" spans="1:22">
      <c r="A182">
        <v>10197</v>
      </c>
      <c r="B182">
        <v>1742</v>
      </c>
      <c r="C182" s="21">
        <v>45263</v>
      </c>
      <c r="D182" s="21">
        <v>45266</v>
      </c>
      <c r="E182" t="s">
        <v>15</v>
      </c>
      <c r="F182" t="s">
        <v>37</v>
      </c>
      <c r="G182" t="s">
        <v>16</v>
      </c>
      <c r="H182" t="s">
        <v>34</v>
      </c>
      <c r="I182" t="s">
        <v>48</v>
      </c>
      <c r="J182" t="s">
        <v>66</v>
      </c>
      <c r="K182" t="s">
        <v>44</v>
      </c>
      <c r="L182">
        <v>4</v>
      </c>
      <c r="M182">
        <v>1256.21</v>
      </c>
      <c r="N182">
        <v>10</v>
      </c>
      <c r="U182" s="21"/>
      <c r="V182" s="21"/>
    </row>
    <row r="183" spans="1:22">
      <c r="A183">
        <v>10198</v>
      </c>
      <c r="B183">
        <v>1240</v>
      </c>
      <c r="C183" s="21">
        <v>45291</v>
      </c>
      <c r="D183" s="21">
        <v>45292</v>
      </c>
      <c r="E183" t="s">
        <v>33</v>
      </c>
      <c r="F183" t="s">
        <v>40</v>
      </c>
      <c r="G183" t="s">
        <v>16</v>
      </c>
      <c r="H183" t="s">
        <v>41</v>
      </c>
      <c r="I183" t="s">
        <v>18</v>
      </c>
      <c r="J183" t="s">
        <v>68</v>
      </c>
      <c r="K183" t="s">
        <v>44</v>
      </c>
      <c r="L183">
        <v>5</v>
      </c>
      <c r="M183">
        <v>1227.02</v>
      </c>
      <c r="N183">
        <v>15</v>
      </c>
      <c r="U183" s="21"/>
      <c r="V183" s="21"/>
    </row>
    <row r="184" spans="1:22">
      <c r="A184">
        <v>10199</v>
      </c>
      <c r="B184">
        <v>1563</v>
      </c>
      <c r="C184" s="21">
        <v>44977</v>
      </c>
      <c r="D184" s="21">
        <v>44984</v>
      </c>
      <c r="E184" t="s">
        <v>33</v>
      </c>
      <c r="F184" t="s">
        <v>22</v>
      </c>
      <c r="G184" t="s">
        <v>23</v>
      </c>
      <c r="H184" t="s">
        <v>34</v>
      </c>
      <c r="I184" t="s">
        <v>48</v>
      </c>
      <c r="J184" t="s">
        <v>50</v>
      </c>
      <c r="K184" t="s">
        <v>46</v>
      </c>
      <c r="L184">
        <v>4</v>
      </c>
      <c r="M184">
        <v>1428.19</v>
      </c>
      <c r="N184">
        <v>10</v>
      </c>
      <c r="U184" s="21"/>
      <c r="V184" s="21"/>
    </row>
    <row r="185" spans="1:22">
      <c r="A185">
        <v>10200</v>
      </c>
      <c r="B185">
        <v>1095</v>
      </c>
      <c r="C185" s="21">
        <v>45171</v>
      </c>
      <c r="D185" s="21">
        <v>45176</v>
      </c>
      <c r="E185" t="s">
        <v>14</v>
      </c>
      <c r="F185" t="s">
        <v>28</v>
      </c>
      <c r="G185" t="s">
        <v>29</v>
      </c>
      <c r="H185" t="s">
        <v>43</v>
      </c>
      <c r="I185" t="s">
        <v>18</v>
      </c>
      <c r="J185" t="s">
        <v>68</v>
      </c>
      <c r="K185" t="s">
        <v>32</v>
      </c>
      <c r="L185">
        <v>3</v>
      </c>
      <c r="M185">
        <v>2701.77</v>
      </c>
      <c r="N185">
        <v>15</v>
      </c>
      <c r="U185" s="21"/>
      <c r="V185" s="21"/>
    </row>
    <row r="186" spans="1:22">
      <c r="A186">
        <v>10201</v>
      </c>
      <c r="B186">
        <v>1899</v>
      </c>
      <c r="C186" s="21">
        <v>44961</v>
      </c>
      <c r="D186" s="21">
        <v>44966</v>
      </c>
      <c r="E186" t="s">
        <v>14</v>
      </c>
      <c r="F186" t="s">
        <v>28</v>
      </c>
      <c r="G186" t="s">
        <v>29</v>
      </c>
      <c r="H186" t="s">
        <v>41</v>
      </c>
      <c r="I186" t="s">
        <v>56</v>
      </c>
      <c r="J186" t="s">
        <v>58</v>
      </c>
      <c r="K186" t="s">
        <v>27</v>
      </c>
      <c r="L186">
        <v>5</v>
      </c>
      <c r="M186">
        <v>3501.94</v>
      </c>
      <c r="N186">
        <v>20</v>
      </c>
      <c r="U186" s="21"/>
      <c r="V186" s="21"/>
    </row>
    <row r="187" spans="1:22">
      <c r="A187">
        <v>10202</v>
      </c>
      <c r="B187">
        <v>1733</v>
      </c>
      <c r="C187" s="21">
        <v>45228</v>
      </c>
      <c r="D187" s="21">
        <v>45229</v>
      </c>
      <c r="E187" t="s">
        <v>39</v>
      </c>
      <c r="F187" t="s">
        <v>53</v>
      </c>
      <c r="G187" t="s">
        <v>16</v>
      </c>
      <c r="H187" t="s">
        <v>17</v>
      </c>
      <c r="I187" t="s">
        <v>30</v>
      </c>
      <c r="J187" t="s">
        <v>64</v>
      </c>
      <c r="K187" t="s">
        <v>27</v>
      </c>
      <c r="L187">
        <v>9</v>
      </c>
      <c r="M187">
        <v>3072.48</v>
      </c>
      <c r="N187">
        <v>0</v>
      </c>
      <c r="U187" s="21"/>
      <c r="V187" s="21"/>
    </row>
    <row r="188" spans="1:22">
      <c r="A188">
        <v>10207</v>
      </c>
      <c r="B188">
        <v>1654</v>
      </c>
      <c r="C188" s="21">
        <v>45000</v>
      </c>
      <c r="D188" s="21">
        <v>45006</v>
      </c>
      <c r="E188" t="s">
        <v>36</v>
      </c>
      <c r="F188" t="s">
        <v>40</v>
      </c>
      <c r="G188" t="s">
        <v>23</v>
      </c>
      <c r="H188" t="s">
        <v>43</v>
      </c>
      <c r="I188" t="s">
        <v>48</v>
      </c>
      <c r="J188" t="s">
        <v>50</v>
      </c>
      <c r="K188" t="s">
        <v>32</v>
      </c>
      <c r="L188">
        <v>7</v>
      </c>
      <c r="M188">
        <v>982.56</v>
      </c>
      <c r="N188">
        <v>10</v>
      </c>
      <c r="U188" s="21"/>
      <c r="V188" s="21"/>
    </row>
    <row r="189" spans="1:22">
      <c r="A189">
        <v>10208</v>
      </c>
      <c r="B189">
        <v>1170</v>
      </c>
      <c r="C189" s="21">
        <v>45118</v>
      </c>
      <c r="D189" s="21">
        <v>45123</v>
      </c>
      <c r="E189" t="s">
        <v>45</v>
      </c>
      <c r="F189" t="s">
        <v>40</v>
      </c>
      <c r="G189" t="s">
        <v>23</v>
      </c>
      <c r="H189" t="s">
        <v>41</v>
      </c>
      <c r="I189" t="s">
        <v>51</v>
      </c>
      <c r="J189" t="s">
        <v>52</v>
      </c>
      <c r="K189" t="s">
        <v>27</v>
      </c>
      <c r="L189">
        <v>8</v>
      </c>
      <c r="M189">
        <v>953.07</v>
      </c>
      <c r="N189">
        <v>20</v>
      </c>
      <c r="U189" s="21"/>
      <c r="V189" s="21"/>
    </row>
    <row r="190" spans="1:22">
      <c r="A190">
        <v>10209</v>
      </c>
      <c r="B190">
        <v>1540</v>
      </c>
      <c r="C190" s="21">
        <v>45187</v>
      </c>
      <c r="D190" s="21">
        <v>45193</v>
      </c>
      <c r="E190" t="s">
        <v>39</v>
      </c>
      <c r="F190" t="s">
        <v>15</v>
      </c>
      <c r="G190" t="s">
        <v>16</v>
      </c>
      <c r="H190" t="s">
        <v>41</v>
      </c>
      <c r="I190" t="s">
        <v>48</v>
      </c>
      <c r="J190" t="s">
        <v>49</v>
      </c>
      <c r="K190" t="s">
        <v>44</v>
      </c>
      <c r="L190">
        <v>8</v>
      </c>
      <c r="M190">
        <v>1291.1099999999999</v>
      </c>
      <c r="N190">
        <v>15</v>
      </c>
      <c r="U190" s="21"/>
      <c r="V190" s="21"/>
    </row>
    <row r="191" spans="1:22">
      <c r="A191">
        <v>10210</v>
      </c>
      <c r="B191">
        <v>1035</v>
      </c>
      <c r="C191" s="21">
        <v>45282</v>
      </c>
      <c r="D191" s="21">
        <v>45284</v>
      </c>
      <c r="E191" t="s">
        <v>14</v>
      </c>
      <c r="F191" t="s">
        <v>53</v>
      </c>
      <c r="G191" t="s">
        <v>29</v>
      </c>
      <c r="H191" t="s">
        <v>17</v>
      </c>
      <c r="I191" t="s">
        <v>18</v>
      </c>
      <c r="J191" t="s">
        <v>19</v>
      </c>
      <c r="K191" t="s">
        <v>44</v>
      </c>
      <c r="L191">
        <v>8</v>
      </c>
      <c r="M191">
        <v>3656.59</v>
      </c>
      <c r="N191">
        <v>15</v>
      </c>
      <c r="U191" s="21"/>
      <c r="V191" s="21"/>
    </row>
    <row r="192" spans="1:22">
      <c r="A192">
        <v>10211</v>
      </c>
      <c r="B192">
        <v>1524</v>
      </c>
      <c r="C192" s="21">
        <v>44996</v>
      </c>
      <c r="D192" s="21">
        <v>45000</v>
      </c>
      <c r="E192" t="s">
        <v>21</v>
      </c>
      <c r="F192" t="s">
        <v>22</v>
      </c>
      <c r="G192" t="s">
        <v>23</v>
      </c>
      <c r="H192" t="s">
        <v>41</v>
      </c>
      <c r="I192" t="s">
        <v>48</v>
      </c>
      <c r="J192" t="s">
        <v>50</v>
      </c>
      <c r="K192" t="s">
        <v>20</v>
      </c>
      <c r="L192">
        <v>7</v>
      </c>
      <c r="M192">
        <v>2257.5500000000002</v>
      </c>
      <c r="N192">
        <v>10</v>
      </c>
      <c r="U192" s="21"/>
      <c r="V192" s="21"/>
    </row>
    <row r="193" spans="1:22">
      <c r="A193">
        <v>10212</v>
      </c>
      <c r="B193">
        <v>1159</v>
      </c>
      <c r="C193" s="21">
        <v>45016</v>
      </c>
      <c r="D193" s="21">
        <v>45019</v>
      </c>
      <c r="E193" t="s">
        <v>15</v>
      </c>
      <c r="F193" t="s">
        <v>28</v>
      </c>
      <c r="G193" t="s">
        <v>29</v>
      </c>
      <c r="H193" t="s">
        <v>43</v>
      </c>
      <c r="I193" t="s">
        <v>25</v>
      </c>
      <c r="J193" t="s">
        <v>60</v>
      </c>
      <c r="K193" t="s">
        <v>32</v>
      </c>
      <c r="L193">
        <v>1</v>
      </c>
      <c r="M193">
        <v>2975.54</v>
      </c>
      <c r="N193">
        <v>15</v>
      </c>
      <c r="U193" s="21"/>
      <c r="V193" s="21"/>
    </row>
    <row r="194" spans="1:22">
      <c r="A194">
        <v>10214</v>
      </c>
      <c r="B194">
        <v>1698</v>
      </c>
      <c r="C194" s="21">
        <v>45052</v>
      </c>
      <c r="D194" s="21">
        <v>45061</v>
      </c>
      <c r="E194" t="s">
        <v>36</v>
      </c>
      <c r="F194" t="s">
        <v>28</v>
      </c>
      <c r="G194" t="s">
        <v>23</v>
      </c>
      <c r="H194" t="s">
        <v>43</v>
      </c>
      <c r="I194" t="s">
        <v>48</v>
      </c>
      <c r="J194" t="s">
        <v>62</v>
      </c>
      <c r="K194" t="s">
        <v>46</v>
      </c>
      <c r="L194">
        <v>4</v>
      </c>
      <c r="M194">
        <v>1719.71</v>
      </c>
      <c r="N194">
        <v>15</v>
      </c>
      <c r="U194" s="21"/>
      <c r="V194" s="21"/>
    </row>
    <row r="195" spans="1:22">
      <c r="A195">
        <v>10215</v>
      </c>
      <c r="B195">
        <v>1242</v>
      </c>
      <c r="C195" s="21">
        <v>45157</v>
      </c>
      <c r="D195" s="21">
        <v>45162</v>
      </c>
      <c r="E195" t="s">
        <v>14</v>
      </c>
      <c r="F195" t="s">
        <v>15</v>
      </c>
      <c r="G195" t="s">
        <v>16</v>
      </c>
      <c r="H195" t="s">
        <v>24</v>
      </c>
      <c r="I195" t="s">
        <v>25</v>
      </c>
      <c r="J195" t="s">
        <v>26</v>
      </c>
      <c r="K195" t="s">
        <v>20</v>
      </c>
      <c r="L195">
        <v>5</v>
      </c>
      <c r="M195">
        <v>633.42999999999995</v>
      </c>
      <c r="N195">
        <v>20</v>
      </c>
      <c r="U195" s="21"/>
      <c r="V195" s="21"/>
    </row>
    <row r="196" spans="1:22">
      <c r="A196">
        <v>10216</v>
      </c>
      <c r="B196">
        <v>1085</v>
      </c>
      <c r="C196" s="21">
        <v>45221</v>
      </c>
      <c r="D196" s="21">
        <v>45227</v>
      </c>
      <c r="E196" t="s">
        <v>36</v>
      </c>
      <c r="F196" t="s">
        <v>22</v>
      </c>
      <c r="G196" t="s">
        <v>23</v>
      </c>
      <c r="H196" t="s">
        <v>17</v>
      </c>
      <c r="I196" t="s">
        <v>56</v>
      </c>
      <c r="J196" t="s">
        <v>65</v>
      </c>
      <c r="K196" t="s">
        <v>20</v>
      </c>
      <c r="L196">
        <v>6</v>
      </c>
      <c r="M196">
        <v>809.49</v>
      </c>
      <c r="N196">
        <v>5</v>
      </c>
      <c r="U196" s="21"/>
      <c r="V196" s="21"/>
    </row>
    <row r="197" spans="1:22">
      <c r="A197">
        <v>10217</v>
      </c>
      <c r="B197">
        <v>1795</v>
      </c>
      <c r="C197" s="21">
        <v>45055</v>
      </c>
      <c r="D197" s="21">
        <v>45057</v>
      </c>
      <c r="E197" t="s">
        <v>36</v>
      </c>
      <c r="F197" t="s">
        <v>40</v>
      </c>
      <c r="G197" t="s">
        <v>23</v>
      </c>
      <c r="H197" t="s">
        <v>41</v>
      </c>
      <c r="I197" t="s">
        <v>48</v>
      </c>
      <c r="J197" t="s">
        <v>49</v>
      </c>
      <c r="K197" t="s">
        <v>27</v>
      </c>
      <c r="L197">
        <v>4</v>
      </c>
      <c r="M197">
        <v>3335.32</v>
      </c>
      <c r="N197">
        <v>20</v>
      </c>
      <c r="U197" s="21"/>
      <c r="V197" s="21"/>
    </row>
    <row r="198" spans="1:22">
      <c r="A198">
        <v>10218</v>
      </c>
      <c r="B198">
        <v>1577</v>
      </c>
      <c r="C198" s="21">
        <v>45206</v>
      </c>
      <c r="D198" s="21">
        <v>45209</v>
      </c>
      <c r="E198" t="s">
        <v>36</v>
      </c>
      <c r="F198" t="s">
        <v>28</v>
      </c>
      <c r="G198" t="s">
        <v>16</v>
      </c>
      <c r="H198" t="s">
        <v>43</v>
      </c>
      <c r="I198" t="s">
        <v>25</v>
      </c>
      <c r="J198" t="s">
        <v>67</v>
      </c>
      <c r="K198" t="s">
        <v>44</v>
      </c>
      <c r="L198">
        <v>2</v>
      </c>
      <c r="M198">
        <v>2401.63</v>
      </c>
      <c r="N198">
        <v>0</v>
      </c>
      <c r="U198" s="21"/>
      <c r="V198" s="21"/>
    </row>
    <row r="199" spans="1:22">
      <c r="A199">
        <v>10220</v>
      </c>
      <c r="B199">
        <v>1556</v>
      </c>
      <c r="C199" s="21">
        <v>45026</v>
      </c>
      <c r="D199" s="21">
        <v>45035</v>
      </c>
      <c r="E199" t="s">
        <v>36</v>
      </c>
      <c r="F199" t="s">
        <v>15</v>
      </c>
      <c r="G199" t="s">
        <v>23</v>
      </c>
      <c r="H199" t="s">
        <v>17</v>
      </c>
      <c r="I199" t="s">
        <v>18</v>
      </c>
      <c r="J199" t="s">
        <v>54</v>
      </c>
      <c r="K199" t="s">
        <v>20</v>
      </c>
      <c r="L199">
        <v>8</v>
      </c>
      <c r="M199">
        <v>3240.98</v>
      </c>
      <c r="N199">
        <v>0</v>
      </c>
      <c r="U199" s="21"/>
      <c r="V199" s="21"/>
    </row>
    <row r="200" spans="1:22">
      <c r="A200">
        <v>10222</v>
      </c>
      <c r="B200">
        <v>1952</v>
      </c>
      <c r="C200" s="21">
        <v>45223</v>
      </c>
      <c r="D200" s="21">
        <v>45231</v>
      </c>
      <c r="E200" t="s">
        <v>15</v>
      </c>
      <c r="F200" t="s">
        <v>15</v>
      </c>
      <c r="G200" t="s">
        <v>23</v>
      </c>
      <c r="H200" t="s">
        <v>43</v>
      </c>
      <c r="I200" t="s">
        <v>48</v>
      </c>
      <c r="J200" t="s">
        <v>50</v>
      </c>
      <c r="K200" t="s">
        <v>20</v>
      </c>
      <c r="L200">
        <v>7</v>
      </c>
      <c r="M200">
        <v>3907.73</v>
      </c>
      <c r="N200">
        <v>10</v>
      </c>
      <c r="U200" s="21"/>
      <c r="V200" s="21"/>
    </row>
    <row r="201" spans="1:22">
      <c r="A201">
        <v>10223</v>
      </c>
      <c r="B201">
        <v>1645</v>
      </c>
      <c r="C201" s="21">
        <v>45108</v>
      </c>
      <c r="D201" s="21">
        <v>45117</v>
      </c>
      <c r="E201" t="s">
        <v>45</v>
      </c>
      <c r="F201" t="s">
        <v>53</v>
      </c>
      <c r="G201" t="s">
        <v>16</v>
      </c>
      <c r="H201" t="s">
        <v>24</v>
      </c>
      <c r="I201" t="s">
        <v>56</v>
      </c>
      <c r="J201" t="s">
        <v>58</v>
      </c>
      <c r="K201" t="s">
        <v>46</v>
      </c>
      <c r="L201">
        <v>6</v>
      </c>
      <c r="M201">
        <v>1477.55</v>
      </c>
      <c r="N201">
        <v>10</v>
      </c>
      <c r="U201" s="21"/>
      <c r="V201" s="21"/>
    </row>
    <row r="202" spans="1:22">
      <c r="A202">
        <v>10226</v>
      </c>
      <c r="B202">
        <v>1619</v>
      </c>
      <c r="C202" s="21">
        <v>45290</v>
      </c>
      <c r="D202" s="21">
        <v>45291</v>
      </c>
      <c r="E202" t="s">
        <v>36</v>
      </c>
      <c r="F202" t="s">
        <v>37</v>
      </c>
      <c r="G202" t="s">
        <v>16</v>
      </c>
      <c r="H202" t="s">
        <v>41</v>
      </c>
      <c r="I202" t="s">
        <v>48</v>
      </c>
      <c r="J202" t="s">
        <v>62</v>
      </c>
      <c r="K202" t="s">
        <v>44</v>
      </c>
      <c r="L202">
        <v>5</v>
      </c>
      <c r="M202">
        <v>620.13</v>
      </c>
      <c r="N202">
        <v>5</v>
      </c>
      <c r="U202" s="21"/>
      <c r="V202" s="21"/>
    </row>
    <row r="203" spans="1:22">
      <c r="A203">
        <v>10229</v>
      </c>
      <c r="B203">
        <v>1797</v>
      </c>
      <c r="C203" s="21">
        <v>44957</v>
      </c>
      <c r="D203" s="21">
        <v>44959</v>
      </c>
      <c r="E203" t="s">
        <v>15</v>
      </c>
      <c r="F203" t="s">
        <v>53</v>
      </c>
      <c r="G203" t="s">
        <v>29</v>
      </c>
      <c r="H203" t="s">
        <v>43</v>
      </c>
      <c r="I203" t="s">
        <v>48</v>
      </c>
      <c r="J203" t="s">
        <v>66</v>
      </c>
      <c r="K203" t="s">
        <v>32</v>
      </c>
      <c r="L203">
        <v>8</v>
      </c>
      <c r="M203">
        <v>3519.2</v>
      </c>
      <c r="N203">
        <v>0</v>
      </c>
      <c r="U203" s="21"/>
      <c r="V203" s="21"/>
    </row>
    <row r="204" spans="1:22">
      <c r="A204">
        <v>10232</v>
      </c>
      <c r="B204">
        <v>1639</v>
      </c>
      <c r="C204" s="21">
        <v>44962</v>
      </c>
      <c r="D204" s="21">
        <v>44969</v>
      </c>
      <c r="E204" t="s">
        <v>21</v>
      </c>
      <c r="F204" t="s">
        <v>28</v>
      </c>
      <c r="G204" t="s">
        <v>16</v>
      </c>
      <c r="H204" t="s">
        <v>17</v>
      </c>
      <c r="I204" t="s">
        <v>56</v>
      </c>
      <c r="J204" t="s">
        <v>58</v>
      </c>
      <c r="K204" t="s">
        <v>20</v>
      </c>
      <c r="L204">
        <v>1</v>
      </c>
      <c r="M204">
        <v>2250.4899999999998</v>
      </c>
      <c r="N204">
        <v>15</v>
      </c>
      <c r="U204" s="21"/>
      <c r="V204" s="21"/>
    </row>
    <row r="205" spans="1:22">
      <c r="A205">
        <v>10233</v>
      </c>
      <c r="B205">
        <v>1505</v>
      </c>
      <c r="C205" s="21">
        <v>45139</v>
      </c>
      <c r="D205" s="21">
        <v>45143</v>
      </c>
      <c r="E205" t="s">
        <v>15</v>
      </c>
      <c r="F205" t="s">
        <v>40</v>
      </c>
      <c r="G205" t="s">
        <v>16</v>
      </c>
      <c r="H205" t="s">
        <v>43</v>
      </c>
      <c r="I205" t="s">
        <v>18</v>
      </c>
      <c r="J205" t="s">
        <v>54</v>
      </c>
      <c r="K205" t="s">
        <v>46</v>
      </c>
      <c r="L205">
        <v>1</v>
      </c>
      <c r="M205">
        <v>556.53</v>
      </c>
      <c r="N205">
        <v>5</v>
      </c>
      <c r="U205" s="21"/>
      <c r="V205" s="21"/>
    </row>
    <row r="206" spans="1:22">
      <c r="A206">
        <v>10234</v>
      </c>
      <c r="B206">
        <v>1347</v>
      </c>
      <c r="C206" s="21">
        <v>45290</v>
      </c>
      <c r="D206" s="21">
        <v>45295</v>
      </c>
      <c r="E206" t="s">
        <v>36</v>
      </c>
      <c r="F206" t="s">
        <v>15</v>
      </c>
      <c r="G206" t="s">
        <v>29</v>
      </c>
      <c r="H206" t="s">
        <v>43</v>
      </c>
      <c r="I206" t="s">
        <v>30</v>
      </c>
      <c r="J206" t="s">
        <v>47</v>
      </c>
      <c r="K206" t="s">
        <v>32</v>
      </c>
      <c r="L206">
        <v>7</v>
      </c>
      <c r="M206">
        <v>324.38</v>
      </c>
      <c r="N206">
        <v>10</v>
      </c>
      <c r="U206" s="21"/>
      <c r="V206" s="21"/>
    </row>
    <row r="207" spans="1:22">
      <c r="A207">
        <v>10235</v>
      </c>
      <c r="B207">
        <v>1472</v>
      </c>
      <c r="C207" s="21">
        <v>45032</v>
      </c>
      <c r="D207" s="21">
        <v>45040</v>
      </c>
      <c r="E207" t="s">
        <v>39</v>
      </c>
      <c r="F207" t="s">
        <v>28</v>
      </c>
      <c r="G207" t="s">
        <v>16</v>
      </c>
      <c r="H207" t="s">
        <v>34</v>
      </c>
      <c r="I207" t="s">
        <v>51</v>
      </c>
      <c r="J207" t="s">
        <v>59</v>
      </c>
      <c r="K207" t="s">
        <v>46</v>
      </c>
      <c r="L207">
        <v>9</v>
      </c>
      <c r="M207">
        <v>2677.09</v>
      </c>
      <c r="N207">
        <v>10</v>
      </c>
      <c r="U207" s="21"/>
      <c r="V207" s="21"/>
    </row>
    <row r="208" spans="1:22">
      <c r="A208">
        <v>10238</v>
      </c>
      <c r="B208">
        <v>1224</v>
      </c>
      <c r="C208" s="21">
        <v>45089</v>
      </c>
      <c r="D208" s="21">
        <v>45093</v>
      </c>
      <c r="E208" t="s">
        <v>33</v>
      </c>
      <c r="F208" t="s">
        <v>37</v>
      </c>
      <c r="G208" t="s">
        <v>23</v>
      </c>
      <c r="H208" t="s">
        <v>34</v>
      </c>
      <c r="I208" t="s">
        <v>56</v>
      </c>
      <c r="J208" t="s">
        <v>61</v>
      </c>
      <c r="K208" t="s">
        <v>44</v>
      </c>
      <c r="L208">
        <v>8</v>
      </c>
      <c r="M208">
        <v>284.52</v>
      </c>
      <c r="N208">
        <v>15</v>
      </c>
      <c r="U208" s="21"/>
      <c r="V208" s="21"/>
    </row>
    <row r="209" spans="1:22">
      <c r="A209">
        <v>10239</v>
      </c>
      <c r="B209">
        <v>1384</v>
      </c>
      <c r="C209" s="21">
        <v>45146</v>
      </c>
      <c r="D209" s="21">
        <v>45149</v>
      </c>
      <c r="E209" t="s">
        <v>33</v>
      </c>
      <c r="F209" t="s">
        <v>40</v>
      </c>
      <c r="G209" t="s">
        <v>23</v>
      </c>
      <c r="H209" t="s">
        <v>24</v>
      </c>
      <c r="I209" t="s">
        <v>48</v>
      </c>
      <c r="J209" t="s">
        <v>62</v>
      </c>
      <c r="K209" t="s">
        <v>46</v>
      </c>
      <c r="L209">
        <v>2</v>
      </c>
      <c r="M209">
        <v>3960.56</v>
      </c>
      <c r="N209">
        <v>10</v>
      </c>
      <c r="U209" s="21"/>
      <c r="V209" s="21"/>
    </row>
    <row r="210" spans="1:22">
      <c r="A210">
        <v>10240</v>
      </c>
      <c r="B210">
        <v>1376</v>
      </c>
      <c r="C210" s="21">
        <v>45196</v>
      </c>
      <c r="D210" s="21">
        <v>45198</v>
      </c>
      <c r="E210" t="s">
        <v>15</v>
      </c>
      <c r="F210" t="s">
        <v>37</v>
      </c>
      <c r="G210" t="s">
        <v>16</v>
      </c>
      <c r="H210" t="s">
        <v>41</v>
      </c>
      <c r="I210" t="s">
        <v>56</v>
      </c>
      <c r="J210" t="s">
        <v>65</v>
      </c>
      <c r="K210" t="s">
        <v>44</v>
      </c>
      <c r="L210">
        <v>9</v>
      </c>
      <c r="M210">
        <v>265.58</v>
      </c>
      <c r="N210">
        <v>10</v>
      </c>
      <c r="U210" s="21"/>
      <c r="V210" s="21"/>
    </row>
    <row r="211" spans="1:22">
      <c r="A211">
        <v>10241</v>
      </c>
      <c r="B211">
        <v>1282</v>
      </c>
      <c r="C211" s="21">
        <v>45046</v>
      </c>
      <c r="D211" s="21">
        <v>45049</v>
      </c>
      <c r="E211" t="s">
        <v>39</v>
      </c>
      <c r="F211" t="s">
        <v>40</v>
      </c>
      <c r="G211" t="s">
        <v>29</v>
      </c>
      <c r="H211" t="s">
        <v>17</v>
      </c>
      <c r="I211" t="s">
        <v>18</v>
      </c>
      <c r="J211" t="s">
        <v>68</v>
      </c>
      <c r="K211" t="s">
        <v>32</v>
      </c>
      <c r="L211">
        <v>6</v>
      </c>
      <c r="M211">
        <v>1861.43</v>
      </c>
      <c r="N211">
        <v>0</v>
      </c>
      <c r="U211" s="21"/>
      <c r="V211" s="21"/>
    </row>
    <row r="212" spans="1:22">
      <c r="A212">
        <v>10243</v>
      </c>
      <c r="B212">
        <v>1632</v>
      </c>
      <c r="C212" s="21">
        <v>45108</v>
      </c>
      <c r="D212" s="21">
        <v>45109</v>
      </c>
      <c r="E212" t="s">
        <v>36</v>
      </c>
      <c r="F212" t="s">
        <v>22</v>
      </c>
      <c r="G212" t="s">
        <v>29</v>
      </c>
      <c r="H212" t="s">
        <v>17</v>
      </c>
      <c r="I212" t="s">
        <v>56</v>
      </c>
      <c r="J212" t="s">
        <v>58</v>
      </c>
      <c r="K212" t="s">
        <v>27</v>
      </c>
      <c r="L212">
        <v>2</v>
      </c>
      <c r="M212">
        <v>601.53</v>
      </c>
      <c r="N212">
        <v>20</v>
      </c>
      <c r="U212" s="21"/>
      <c r="V212" s="21"/>
    </row>
    <row r="213" spans="1:22">
      <c r="A213">
        <v>10244</v>
      </c>
      <c r="B213">
        <v>1627</v>
      </c>
      <c r="C213" s="21">
        <v>45032</v>
      </c>
      <c r="D213" s="21">
        <v>45038</v>
      </c>
      <c r="E213" t="s">
        <v>33</v>
      </c>
      <c r="F213" t="s">
        <v>28</v>
      </c>
      <c r="G213" t="s">
        <v>16</v>
      </c>
      <c r="H213" t="s">
        <v>43</v>
      </c>
      <c r="I213" t="s">
        <v>51</v>
      </c>
      <c r="J213" t="s">
        <v>52</v>
      </c>
      <c r="K213" t="s">
        <v>44</v>
      </c>
      <c r="L213">
        <v>3</v>
      </c>
      <c r="M213">
        <v>800.89</v>
      </c>
      <c r="N213">
        <v>0</v>
      </c>
      <c r="U213" s="21"/>
      <c r="V213" s="21"/>
    </row>
    <row r="214" spans="1:22">
      <c r="A214">
        <v>10245</v>
      </c>
      <c r="B214">
        <v>1972</v>
      </c>
      <c r="C214" s="21">
        <v>45143</v>
      </c>
      <c r="D214" s="21">
        <v>45148</v>
      </c>
      <c r="E214" t="s">
        <v>14</v>
      </c>
      <c r="F214" t="s">
        <v>15</v>
      </c>
      <c r="G214" t="s">
        <v>29</v>
      </c>
      <c r="H214" t="s">
        <v>41</v>
      </c>
      <c r="I214" t="s">
        <v>48</v>
      </c>
      <c r="J214" t="s">
        <v>50</v>
      </c>
      <c r="K214" t="s">
        <v>46</v>
      </c>
      <c r="L214">
        <v>8</v>
      </c>
      <c r="M214">
        <v>1504.45</v>
      </c>
      <c r="N214">
        <v>20</v>
      </c>
      <c r="U214" s="21"/>
      <c r="V214" s="21"/>
    </row>
    <row r="215" spans="1:22">
      <c r="A215">
        <v>10246</v>
      </c>
      <c r="B215">
        <v>1744</v>
      </c>
      <c r="C215" s="21">
        <v>45131</v>
      </c>
      <c r="D215" s="21">
        <v>45139</v>
      </c>
      <c r="E215" t="s">
        <v>15</v>
      </c>
      <c r="F215" t="s">
        <v>28</v>
      </c>
      <c r="G215" t="s">
        <v>23</v>
      </c>
      <c r="H215" t="s">
        <v>24</v>
      </c>
      <c r="I215" t="s">
        <v>51</v>
      </c>
      <c r="J215" t="s">
        <v>52</v>
      </c>
      <c r="K215" t="s">
        <v>44</v>
      </c>
      <c r="L215">
        <v>1</v>
      </c>
      <c r="M215">
        <v>3082.45</v>
      </c>
      <c r="N215">
        <v>5</v>
      </c>
      <c r="U215" s="21"/>
      <c r="V215" s="21"/>
    </row>
    <row r="216" spans="1:22">
      <c r="A216">
        <v>10247</v>
      </c>
      <c r="B216">
        <v>1258</v>
      </c>
      <c r="C216" s="21">
        <v>44996</v>
      </c>
      <c r="D216" s="21">
        <v>44998</v>
      </c>
      <c r="E216" t="s">
        <v>14</v>
      </c>
      <c r="F216" t="s">
        <v>53</v>
      </c>
      <c r="G216" t="s">
        <v>29</v>
      </c>
      <c r="H216" t="s">
        <v>34</v>
      </c>
      <c r="I216" t="s">
        <v>51</v>
      </c>
      <c r="J216" t="s">
        <v>63</v>
      </c>
      <c r="K216" t="s">
        <v>46</v>
      </c>
      <c r="L216">
        <v>7</v>
      </c>
      <c r="M216">
        <v>2102.27</v>
      </c>
      <c r="N216">
        <v>20</v>
      </c>
      <c r="U216" s="21"/>
      <c r="V216" s="21"/>
    </row>
    <row r="217" spans="1:22">
      <c r="A217">
        <v>10248</v>
      </c>
      <c r="B217">
        <v>1358</v>
      </c>
      <c r="C217" s="21">
        <v>44970</v>
      </c>
      <c r="D217" s="21">
        <v>44974</v>
      </c>
      <c r="E217" t="s">
        <v>21</v>
      </c>
      <c r="F217" t="s">
        <v>15</v>
      </c>
      <c r="G217" t="s">
        <v>29</v>
      </c>
      <c r="H217" t="s">
        <v>41</v>
      </c>
      <c r="I217" t="s">
        <v>30</v>
      </c>
      <c r="J217" t="s">
        <v>38</v>
      </c>
      <c r="K217" t="s">
        <v>20</v>
      </c>
      <c r="L217">
        <v>7</v>
      </c>
      <c r="M217">
        <v>2605.92</v>
      </c>
      <c r="N217">
        <v>20</v>
      </c>
      <c r="U217" s="21"/>
      <c r="V217" s="21"/>
    </row>
    <row r="218" spans="1:22">
      <c r="A218">
        <v>10249</v>
      </c>
      <c r="B218">
        <v>1709</v>
      </c>
      <c r="C218" s="21">
        <v>45255</v>
      </c>
      <c r="D218" s="21">
        <v>45263</v>
      </c>
      <c r="E218" t="s">
        <v>45</v>
      </c>
      <c r="F218" t="s">
        <v>40</v>
      </c>
      <c r="G218" t="s">
        <v>16</v>
      </c>
      <c r="H218" t="s">
        <v>17</v>
      </c>
      <c r="I218" t="s">
        <v>30</v>
      </c>
      <c r="J218" t="s">
        <v>64</v>
      </c>
      <c r="K218" t="s">
        <v>44</v>
      </c>
      <c r="L218">
        <v>1</v>
      </c>
      <c r="M218">
        <v>3942.92</v>
      </c>
      <c r="N218">
        <v>0</v>
      </c>
      <c r="U218" s="21"/>
      <c r="V218" s="21"/>
    </row>
    <row r="219" spans="1:22">
      <c r="A219">
        <v>10251</v>
      </c>
      <c r="B219">
        <v>1410</v>
      </c>
      <c r="C219" s="21">
        <v>45154</v>
      </c>
      <c r="D219" s="21">
        <v>45155</v>
      </c>
      <c r="E219" t="s">
        <v>15</v>
      </c>
      <c r="F219" t="s">
        <v>22</v>
      </c>
      <c r="G219" t="s">
        <v>16</v>
      </c>
      <c r="H219" t="s">
        <v>24</v>
      </c>
      <c r="I219" t="s">
        <v>30</v>
      </c>
      <c r="J219" t="s">
        <v>47</v>
      </c>
      <c r="K219" t="s">
        <v>27</v>
      </c>
      <c r="L219">
        <v>8</v>
      </c>
      <c r="M219">
        <v>1822.29</v>
      </c>
      <c r="N219">
        <v>20</v>
      </c>
      <c r="U219" s="21"/>
      <c r="V219" s="21"/>
    </row>
    <row r="220" spans="1:22">
      <c r="A220">
        <v>10252</v>
      </c>
      <c r="B220">
        <v>1648</v>
      </c>
      <c r="C220" s="21">
        <v>45110</v>
      </c>
      <c r="D220" s="21">
        <v>45114</v>
      </c>
      <c r="E220" t="s">
        <v>36</v>
      </c>
      <c r="F220" t="s">
        <v>37</v>
      </c>
      <c r="G220" t="s">
        <v>23</v>
      </c>
      <c r="H220" t="s">
        <v>41</v>
      </c>
      <c r="I220" t="s">
        <v>51</v>
      </c>
      <c r="J220" t="s">
        <v>59</v>
      </c>
      <c r="K220" t="s">
        <v>32</v>
      </c>
      <c r="L220">
        <v>4</v>
      </c>
      <c r="M220">
        <v>1868.8</v>
      </c>
      <c r="N220">
        <v>20</v>
      </c>
      <c r="U220" s="21"/>
      <c r="V220" s="21"/>
    </row>
    <row r="221" spans="1:22">
      <c r="A221">
        <v>10253</v>
      </c>
      <c r="B221">
        <v>1317</v>
      </c>
      <c r="C221" s="21">
        <v>45033</v>
      </c>
      <c r="D221" s="21">
        <v>45034</v>
      </c>
      <c r="E221" t="s">
        <v>39</v>
      </c>
      <c r="F221" t="s">
        <v>40</v>
      </c>
      <c r="G221" t="s">
        <v>23</v>
      </c>
      <c r="H221" t="s">
        <v>34</v>
      </c>
      <c r="I221" t="s">
        <v>18</v>
      </c>
      <c r="J221" t="s">
        <v>19</v>
      </c>
      <c r="K221" t="s">
        <v>46</v>
      </c>
      <c r="L221">
        <v>5</v>
      </c>
      <c r="M221">
        <v>2532.27</v>
      </c>
      <c r="N221">
        <v>15</v>
      </c>
      <c r="U221" s="21"/>
      <c r="V221" s="21"/>
    </row>
    <row r="222" spans="1:22">
      <c r="A222">
        <v>10254</v>
      </c>
      <c r="B222">
        <v>1676</v>
      </c>
      <c r="C222" s="21">
        <v>45010</v>
      </c>
      <c r="D222" s="21">
        <v>45012</v>
      </c>
      <c r="E222" t="s">
        <v>21</v>
      </c>
      <c r="F222" t="s">
        <v>15</v>
      </c>
      <c r="G222" t="s">
        <v>16</v>
      </c>
      <c r="H222" t="s">
        <v>41</v>
      </c>
      <c r="I222" t="s">
        <v>51</v>
      </c>
      <c r="J222" t="s">
        <v>63</v>
      </c>
      <c r="K222" t="s">
        <v>44</v>
      </c>
      <c r="L222">
        <v>2</v>
      </c>
      <c r="M222">
        <v>2711.66</v>
      </c>
      <c r="N222">
        <v>0</v>
      </c>
      <c r="U222" s="21"/>
      <c r="V222" s="21"/>
    </row>
    <row r="223" spans="1:22">
      <c r="A223">
        <v>10257</v>
      </c>
      <c r="B223">
        <v>1233</v>
      </c>
      <c r="C223" s="21">
        <v>45289</v>
      </c>
      <c r="D223" s="21">
        <v>45297</v>
      </c>
      <c r="E223" t="s">
        <v>39</v>
      </c>
      <c r="F223" t="s">
        <v>40</v>
      </c>
      <c r="G223" t="s">
        <v>23</v>
      </c>
      <c r="H223" t="s">
        <v>43</v>
      </c>
      <c r="I223" t="s">
        <v>30</v>
      </c>
      <c r="J223" t="s">
        <v>31</v>
      </c>
      <c r="K223" t="s">
        <v>46</v>
      </c>
      <c r="L223">
        <v>3</v>
      </c>
      <c r="M223">
        <v>240.6</v>
      </c>
      <c r="N223">
        <v>5</v>
      </c>
      <c r="U223" s="21"/>
      <c r="V223" s="21"/>
    </row>
    <row r="224" spans="1:22">
      <c r="A224">
        <v>10260</v>
      </c>
      <c r="B224">
        <v>1974</v>
      </c>
      <c r="C224" s="21">
        <v>45104</v>
      </c>
      <c r="D224" s="21">
        <v>45110</v>
      </c>
      <c r="E224" t="s">
        <v>21</v>
      </c>
      <c r="F224" t="s">
        <v>40</v>
      </c>
      <c r="G224" t="s">
        <v>16</v>
      </c>
      <c r="H224" t="s">
        <v>41</v>
      </c>
      <c r="I224" t="s">
        <v>30</v>
      </c>
      <c r="J224" t="s">
        <v>64</v>
      </c>
      <c r="K224" t="s">
        <v>27</v>
      </c>
      <c r="L224">
        <v>3</v>
      </c>
      <c r="M224">
        <v>647.32000000000005</v>
      </c>
      <c r="N224">
        <v>5</v>
      </c>
      <c r="U224" s="21"/>
      <c r="V224" s="21"/>
    </row>
    <row r="225" spans="1:22">
      <c r="A225">
        <v>10261</v>
      </c>
      <c r="B225">
        <v>1826</v>
      </c>
      <c r="C225" s="21">
        <v>44933</v>
      </c>
      <c r="D225" s="21">
        <v>44936</v>
      </c>
      <c r="E225" t="s">
        <v>14</v>
      </c>
      <c r="F225" t="s">
        <v>53</v>
      </c>
      <c r="G225" t="s">
        <v>23</v>
      </c>
      <c r="H225" t="s">
        <v>24</v>
      </c>
      <c r="I225" t="s">
        <v>30</v>
      </c>
      <c r="J225" t="s">
        <v>31</v>
      </c>
      <c r="K225" t="s">
        <v>32</v>
      </c>
      <c r="L225">
        <v>2</v>
      </c>
      <c r="M225">
        <v>533.25</v>
      </c>
      <c r="N225">
        <v>0</v>
      </c>
      <c r="U225" s="21"/>
      <c r="V225" s="21"/>
    </row>
    <row r="226" spans="1:22">
      <c r="A226">
        <v>10262</v>
      </c>
      <c r="B226">
        <v>1373</v>
      </c>
      <c r="C226" s="21">
        <v>44996</v>
      </c>
      <c r="D226" s="21">
        <v>44998</v>
      </c>
      <c r="E226" t="s">
        <v>14</v>
      </c>
      <c r="F226" t="s">
        <v>22</v>
      </c>
      <c r="G226" t="s">
        <v>16</v>
      </c>
      <c r="H226" t="s">
        <v>43</v>
      </c>
      <c r="I226" t="s">
        <v>56</v>
      </c>
      <c r="J226" t="s">
        <v>58</v>
      </c>
      <c r="K226" t="s">
        <v>20</v>
      </c>
      <c r="L226">
        <v>7</v>
      </c>
      <c r="M226">
        <v>2472.29</v>
      </c>
      <c r="N226">
        <v>10</v>
      </c>
      <c r="U226" s="21"/>
      <c r="V226" s="21"/>
    </row>
    <row r="227" spans="1:22">
      <c r="A227">
        <v>10263</v>
      </c>
      <c r="B227">
        <v>1671</v>
      </c>
      <c r="C227" s="21">
        <v>45053</v>
      </c>
      <c r="D227" s="21">
        <v>45059</v>
      </c>
      <c r="E227" t="s">
        <v>39</v>
      </c>
      <c r="F227" t="s">
        <v>37</v>
      </c>
      <c r="G227" t="s">
        <v>29</v>
      </c>
      <c r="H227" t="s">
        <v>34</v>
      </c>
      <c r="I227" t="s">
        <v>48</v>
      </c>
      <c r="J227" t="s">
        <v>62</v>
      </c>
      <c r="K227" t="s">
        <v>32</v>
      </c>
      <c r="L227">
        <v>7</v>
      </c>
      <c r="M227">
        <v>2165.86</v>
      </c>
      <c r="N227">
        <v>0</v>
      </c>
      <c r="U227" s="21"/>
      <c r="V227" s="21"/>
    </row>
    <row r="228" spans="1:22">
      <c r="A228">
        <v>10264</v>
      </c>
      <c r="B228">
        <v>1607</v>
      </c>
      <c r="C228" s="21">
        <v>45086</v>
      </c>
      <c r="D228" s="21">
        <v>45091</v>
      </c>
      <c r="E228" t="s">
        <v>14</v>
      </c>
      <c r="F228" t="s">
        <v>15</v>
      </c>
      <c r="G228" t="s">
        <v>29</v>
      </c>
      <c r="H228" t="s">
        <v>43</v>
      </c>
      <c r="I228" t="s">
        <v>51</v>
      </c>
      <c r="J228" t="s">
        <v>59</v>
      </c>
      <c r="K228" t="s">
        <v>46</v>
      </c>
      <c r="L228">
        <v>4</v>
      </c>
      <c r="M228">
        <v>1126.3</v>
      </c>
      <c r="N228">
        <v>20</v>
      </c>
      <c r="U228" s="21"/>
      <c r="V228" s="21"/>
    </row>
    <row r="229" spans="1:22">
      <c r="A229">
        <v>10266</v>
      </c>
      <c r="B229">
        <v>1232</v>
      </c>
      <c r="C229" s="21">
        <v>45129</v>
      </c>
      <c r="D229" s="21">
        <v>45134</v>
      </c>
      <c r="E229" t="s">
        <v>39</v>
      </c>
      <c r="F229" t="s">
        <v>15</v>
      </c>
      <c r="G229" t="s">
        <v>29</v>
      </c>
      <c r="H229" t="s">
        <v>34</v>
      </c>
      <c r="I229" t="s">
        <v>25</v>
      </c>
      <c r="J229" t="s">
        <v>60</v>
      </c>
      <c r="K229" t="s">
        <v>32</v>
      </c>
      <c r="L229">
        <v>8</v>
      </c>
      <c r="M229">
        <v>2045.09</v>
      </c>
      <c r="N229">
        <v>10</v>
      </c>
      <c r="U229" s="21"/>
      <c r="V229" s="21"/>
    </row>
    <row r="230" spans="1:22">
      <c r="A230">
        <v>10267</v>
      </c>
      <c r="B230">
        <v>1691</v>
      </c>
      <c r="C230" s="21">
        <v>45074</v>
      </c>
      <c r="D230" s="21">
        <v>45079</v>
      </c>
      <c r="E230" t="s">
        <v>39</v>
      </c>
      <c r="F230" t="s">
        <v>37</v>
      </c>
      <c r="G230" t="s">
        <v>29</v>
      </c>
      <c r="H230" t="s">
        <v>43</v>
      </c>
      <c r="I230" t="s">
        <v>51</v>
      </c>
      <c r="J230" t="s">
        <v>52</v>
      </c>
      <c r="K230" t="s">
        <v>46</v>
      </c>
      <c r="L230">
        <v>1</v>
      </c>
      <c r="M230">
        <v>900.78</v>
      </c>
      <c r="N230">
        <v>5</v>
      </c>
      <c r="U230" s="21"/>
      <c r="V230" s="21"/>
    </row>
    <row r="231" spans="1:22">
      <c r="A231">
        <v>10268</v>
      </c>
      <c r="B231">
        <v>1112</v>
      </c>
      <c r="C231" s="21">
        <v>45069</v>
      </c>
      <c r="D231" s="21">
        <v>45072</v>
      </c>
      <c r="E231" t="s">
        <v>36</v>
      </c>
      <c r="F231" t="s">
        <v>15</v>
      </c>
      <c r="G231" t="s">
        <v>29</v>
      </c>
      <c r="H231" t="s">
        <v>41</v>
      </c>
      <c r="I231" t="s">
        <v>30</v>
      </c>
      <c r="J231" t="s">
        <v>38</v>
      </c>
      <c r="K231" t="s">
        <v>27</v>
      </c>
      <c r="L231">
        <v>1</v>
      </c>
      <c r="M231">
        <v>2660.56</v>
      </c>
      <c r="N231">
        <v>10</v>
      </c>
      <c r="U231" s="21"/>
      <c r="V231" s="21"/>
    </row>
    <row r="232" spans="1:22">
      <c r="A232">
        <v>10269</v>
      </c>
      <c r="B232">
        <v>1829</v>
      </c>
      <c r="C232" s="21">
        <v>45125</v>
      </c>
      <c r="D232" s="21">
        <v>45132</v>
      </c>
      <c r="E232" t="s">
        <v>14</v>
      </c>
      <c r="F232" t="s">
        <v>40</v>
      </c>
      <c r="G232" t="s">
        <v>23</v>
      </c>
      <c r="H232" t="s">
        <v>34</v>
      </c>
      <c r="I232" t="s">
        <v>48</v>
      </c>
      <c r="J232" t="s">
        <v>50</v>
      </c>
      <c r="K232" t="s">
        <v>46</v>
      </c>
      <c r="L232">
        <v>5</v>
      </c>
      <c r="M232">
        <v>3156.54</v>
      </c>
      <c r="N232">
        <v>20</v>
      </c>
      <c r="U232" s="21"/>
      <c r="V232" s="21"/>
    </row>
    <row r="233" spans="1:22">
      <c r="A233">
        <v>10270</v>
      </c>
      <c r="B233">
        <v>1496</v>
      </c>
      <c r="C233" s="21">
        <v>45080</v>
      </c>
      <c r="D233" s="21">
        <v>45086</v>
      </c>
      <c r="E233" t="s">
        <v>21</v>
      </c>
      <c r="F233" t="s">
        <v>28</v>
      </c>
      <c r="G233" t="s">
        <v>23</v>
      </c>
      <c r="H233" t="s">
        <v>34</v>
      </c>
      <c r="I233" t="s">
        <v>30</v>
      </c>
      <c r="J233" t="s">
        <v>64</v>
      </c>
      <c r="K233" t="s">
        <v>44</v>
      </c>
      <c r="L233">
        <v>6</v>
      </c>
      <c r="M233">
        <v>3197.13</v>
      </c>
      <c r="N233">
        <v>10</v>
      </c>
      <c r="U233" s="21"/>
      <c r="V233" s="21"/>
    </row>
    <row r="234" spans="1:22">
      <c r="A234">
        <v>10271</v>
      </c>
      <c r="B234">
        <v>1441</v>
      </c>
      <c r="C234" s="21">
        <v>45068</v>
      </c>
      <c r="D234" s="21">
        <v>45072</v>
      </c>
      <c r="E234" t="s">
        <v>39</v>
      </c>
      <c r="F234" t="s">
        <v>15</v>
      </c>
      <c r="G234" t="s">
        <v>29</v>
      </c>
      <c r="H234" t="s">
        <v>24</v>
      </c>
      <c r="I234" t="s">
        <v>18</v>
      </c>
      <c r="J234" t="s">
        <v>68</v>
      </c>
      <c r="K234" t="s">
        <v>46</v>
      </c>
      <c r="L234">
        <v>3</v>
      </c>
      <c r="M234">
        <v>2469.5100000000002</v>
      </c>
      <c r="N234">
        <v>0</v>
      </c>
      <c r="U234" s="21"/>
      <c r="V234" s="21"/>
    </row>
    <row r="235" spans="1:22">
      <c r="A235">
        <v>10273</v>
      </c>
      <c r="B235">
        <v>1267</v>
      </c>
      <c r="C235" s="21">
        <v>45091</v>
      </c>
      <c r="D235" s="21">
        <v>45100</v>
      </c>
      <c r="E235" t="s">
        <v>45</v>
      </c>
      <c r="F235" t="s">
        <v>53</v>
      </c>
      <c r="G235" t="s">
        <v>29</v>
      </c>
      <c r="H235" t="s">
        <v>17</v>
      </c>
      <c r="I235" t="s">
        <v>30</v>
      </c>
      <c r="J235" t="s">
        <v>38</v>
      </c>
      <c r="K235" t="s">
        <v>44</v>
      </c>
      <c r="L235">
        <v>6</v>
      </c>
      <c r="M235">
        <v>384.88</v>
      </c>
      <c r="N235">
        <v>5</v>
      </c>
      <c r="U235" s="21"/>
      <c r="V235" s="21"/>
    </row>
    <row r="236" spans="1:22">
      <c r="A236">
        <v>10274</v>
      </c>
      <c r="B236">
        <v>1509</v>
      </c>
      <c r="C236" s="21">
        <v>45240</v>
      </c>
      <c r="D236" s="21">
        <v>45241</v>
      </c>
      <c r="E236" t="s">
        <v>36</v>
      </c>
      <c r="F236" t="s">
        <v>15</v>
      </c>
      <c r="G236" t="s">
        <v>23</v>
      </c>
      <c r="H236" t="s">
        <v>43</v>
      </c>
      <c r="I236" t="s">
        <v>51</v>
      </c>
      <c r="J236" t="s">
        <v>59</v>
      </c>
      <c r="K236" t="s">
        <v>32</v>
      </c>
      <c r="L236">
        <v>4</v>
      </c>
      <c r="M236">
        <v>1258.1500000000001</v>
      </c>
      <c r="N236">
        <v>0</v>
      </c>
      <c r="U236" s="21"/>
      <c r="V236" s="21"/>
    </row>
    <row r="237" spans="1:22">
      <c r="A237">
        <v>10275</v>
      </c>
      <c r="B237">
        <v>1806</v>
      </c>
      <c r="C237" s="21">
        <v>44947</v>
      </c>
      <c r="D237" s="21">
        <v>44951</v>
      </c>
      <c r="E237" t="s">
        <v>15</v>
      </c>
      <c r="F237" t="s">
        <v>53</v>
      </c>
      <c r="G237" t="s">
        <v>23</v>
      </c>
      <c r="H237" t="s">
        <v>24</v>
      </c>
      <c r="I237" t="s">
        <v>51</v>
      </c>
      <c r="J237" t="s">
        <v>63</v>
      </c>
      <c r="K237" t="s">
        <v>32</v>
      </c>
      <c r="L237">
        <v>7</v>
      </c>
      <c r="M237">
        <v>509.1</v>
      </c>
      <c r="N237">
        <v>15</v>
      </c>
      <c r="U237" s="21"/>
      <c r="V237" s="21"/>
    </row>
    <row r="238" spans="1:22">
      <c r="A238">
        <v>10277</v>
      </c>
      <c r="B238">
        <v>1386</v>
      </c>
      <c r="C238" s="21">
        <v>44995</v>
      </c>
      <c r="D238" s="21">
        <v>45001</v>
      </c>
      <c r="E238" t="s">
        <v>39</v>
      </c>
      <c r="F238" t="s">
        <v>40</v>
      </c>
      <c r="G238" t="s">
        <v>29</v>
      </c>
      <c r="H238" t="s">
        <v>17</v>
      </c>
      <c r="I238" t="s">
        <v>25</v>
      </c>
      <c r="J238" t="s">
        <v>67</v>
      </c>
      <c r="K238" t="s">
        <v>44</v>
      </c>
      <c r="L238">
        <v>9</v>
      </c>
      <c r="M238">
        <v>670.06</v>
      </c>
      <c r="N238">
        <v>20</v>
      </c>
      <c r="U238" s="21"/>
      <c r="V238" s="21"/>
    </row>
    <row r="239" spans="1:22">
      <c r="A239">
        <v>10280</v>
      </c>
      <c r="B239">
        <v>1624</v>
      </c>
      <c r="C239" s="21">
        <v>45144</v>
      </c>
      <c r="D239" s="21">
        <v>45149</v>
      </c>
      <c r="E239" t="s">
        <v>45</v>
      </c>
      <c r="F239" t="s">
        <v>40</v>
      </c>
      <c r="G239" t="s">
        <v>23</v>
      </c>
      <c r="H239" t="s">
        <v>17</v>
      </c>
      <c r="I239" t="s">
        <v>48</v>
      </c>
      <c r="J239" t="s">
        <v>66</v>
      </c>
      <c r="K239" t="s">
        <v>32</v>
      </c>
      <c r="L239">
        <v>8</v>
      </c>
      <c r="M239">
        <v>3784.12</v>
      </c>
      <c r="N239">
        <v>15</v>
      </c>
      <c r="U239" s="21"/>
      <c r="V239" s="21"/>
    </row>
    <row r="240" spans="1:22">
      <c r="A240">
        <v>10281</v>
      </c>
      <c r="B240">
        <v>1951</v>
      </c>
      <c r="C240" s="21">
        <v>45231</v>
      </c>
      <c r="D240" s="21">
        <v>45240</v>
      </c>
      <c r="E240" t="s">
        <v>45</v>
      </c>
      <c r="F240" t="s">
        <v>53</v>
      </c>
      <c r="G240" t="s">
        <v>29</v>
      </c>
      <c r="H240" t="s">
        <v>43</v>
      </c>
      <c r="I240" t="s">
        <v>25</v>
      </c>
      <c r="J240" t="s">
        <v>67</v>
      </c>
      <c r="K240" t="s">
        <v>20</v>
      </c>
      <c r="L240">
        <v>5</v>
      </c>
      <c r="M240">
        <v>3098.44</v>
      </c>
      <c r="N240">
        <v>0</v>
      </c>
      <c r="U240" s="21"/>
      <c r="V240" s="21"/>
    </row>
    <row r="241" spans="1:22">
      <c r="A241">
        <v>10286</v>
      </c>
      <c r="B241">
        <v>1641</v>
      </c>
      <c r="C241" s="21">
        <v>45043</v>
      </c>
      <c r="D241" s="21">
        <v>45050</v>
      </c>
      <c r="E241" t="s">
        <v>14</v>
      </c>
      <c r="F241" t="s">
        <v>28</v>
      </c>
      <c r="G241" t="s">
        <v>16</v>
      </c>
      <c r="H241" t="s">
        <v>43</v>
      </c>
      <c r="I241" t="s">
        <v>56</v>
      </c>
      <c r="J241" t="s">
        <v>57</v>
      </c>
      <c r="K241" t="s">
        <v>27</v>
      </c>
      <c r="L241">
        <v>6</v>
      </c>
      <c r="M241">
        <v>220.79</v>
      </c>
      <c r="N241">
        <v>5</v>
      </c>
      <c r="U241" s="21"/>
      <c r="V241" s="21"/>
    </row>
    <row r="242" spans="1:22">
      <c r="A242">
        <v>10287</v>
      </c>
      <c r="B242">
        <v>1219</v>
      </c>
      <c r="C242" s="21">
        <v>45122</v>
      </c>
      <c r="D242" s="21">
        <v>45125</v>
      </c>
      <c r="E242" t="s">
        <v>21</v>
      </c>
      <c r="F242" t="s">
        <v>37</v>
      </c>
      <c r="G242" t="s">
        <v>23</v>
      </c>
      <c r="H242" t="s">
        <v>17</v>
      </c>
      <c r="I242" t="s">
        <v>56</v>
      </c>
      <c r="J242" t="s">
        <v>65</v>
      </c>
      <c r="K242" t="s">
        <v>20</v>
      </c>
      <c r="L242">
        <v>6</v>
      </c>
      <c r="M242">
        <v>1936.66</v>
      </c>
      <c r="N242">
        <v>0</v>
      </c>
      <c r="U242" s="21"/>
      <c r="V242" s="21"/>
    </row>
    <row r="243" spans="1:22">
      <c r="A243">
        <v>10289</v>
      </c>
      <c r="B243">
        <v>1854</v>
      </c>
      <c r="C243" s="21">
        <v>45012</v>
      </c>
      <c r="D243" s="21">
        <v>45014</v>
      </c>
      <c r="E243" t="s">
        <v>36</v>
      </c>
      <c r="F243" t="s">
        <v>53</v>
      </c>
      <c r="G243" t="s">
        <v>16</v>
      </c>
      <c r="H243" t="s">
        <v>24</v>
      </c>
      <c r="I243" t="s">
        <v>56</v>
      </c>
      <c r="J243" t="s">
        <v>57</v>
      </c>
      <c r="K243" t="s">
        <v>20</v>
      </c>
      <c r="L243">
        <v>7</v>
      </c>
      <c r="M243">
        <v>1396.71</v>
      </c>
      <c r="N243">
        <v>20</v>
      </c>
      <c r="U243" s="21"/>
      <c r="V243" s="21"/>
    </row>
    <row r="244" spans="1:22">
      <c r="A244">
        <v>10290</v>
      </c>
      <c r="B244">
        <v>1996</v>
      </c>
      <c r="C244" s="21">
        <v>45215</v>
      </c>
      <c r="D244" s="21">
        <v>45218</v>
      </c>
      <c r="E244" t="s">
        <v>36</v>
      </c>
      <c r="F244" t="s">
        <v>40</v>
      </c>
      <c r="G244" t="s">
        <v>29</v>
      </c>
      <c r="H244" t="s">
        <v>17</v>
      </c>
      <c r="I244" t="s">
        <v>18</v>
      </c>
      <c r="J244" t="s">
        <v>19</v>
      </c>
      <c r="K244" t="s">
        <v>27</v>
      </c>
      <c r="L244">
        <v>8</v>
      </c>
      <c r="M244">
        <v>2695.39</v>
      </c>
      <c r="N244">
        <v>10</v>
      </c>
      <c r="U244" s="21"/>
      <c r="V244" s="21"/>
    </row>
    <row r="245" spans="1:22">
      <c r="A245">
        <v>10291</v>
      </c>
      <c r="B245">
        <v>1735</v>
      </c>
      <c r="C245" s="21">
        <v>45007</v>
      </c>
      <c r="D245" s="21">
        <v>45008</v>
      </c>
      <c r="E245" t="s">
        <v>14</v>
      </c>
      <c r="F245" t="s">
        <v>53</v>
      </c>
      <c r="G245" t="s">
        <v>23</v>
      </c>
      <c r="H245" t="s">
        <v>24</v>
      </c>
      <c r="I245" t="s">
        <v>51</v>
      </c>
      <c r="J245" t="s">
        <v>52</v>
      </c>
      <c r="K245" t="s">
        <v>32</v>
      </c>
      <c r="L245">
        <v>9</v>
      </c>
      <c r="M245">
        <v>2661.11</v>
      </c>
      <c r="N245">
        <v>10</v>
      </c>
      <c r="U245" s="21"/>
      <c r="V245" s="21"/>
    </row>
    <row r="246" spans="1:22">
      <c r="A246">
        <v>10294</v>
      </c>
      <c r="B246">
        <v>1402</v>
      </c>
      <c r="C246" s="21">
        <v>44987</v>
      </c>
      <c r="D246" s="21">
        <v>44994</v>
      </c>
      <c r="E246" t="s">
        <v>21</v>
      </c>
      <c r="F246" t="s">
        <v>15</v>
      </c>
      <c r="G246" t="s">
        <v>23</v>
      </c>
      <c r="H246" t="s">
        <v>34</v>
      </c>
      <c r="I246" t="s">
        <v>18</v>
      </c>
      <c r="J246" t="s">
        <v>42</v>
      </c>
      <c r="K246" t="s">
        <v>44</v>
      </c>
      <c r="L246">
        <v>3</v>
      </c>
      <c r="M246">
        <v>967.49</v>
      </c>
      <c r="N246">
        <v>0</v>
      </c>
      <c r="U246" s="21"/>
      <c r="V246" s="21"/>
    </row>
    <row r="247" spans="1:22">
      <c r="A247">
        <v>10295</v>
      </c>
      <c r="B247">
        <v>1637</v>
      </c>
      <c r="C247" s="21">
        <v>45280</v>
      </c>
      <c r="D247" s="21">
        <v>45284</v>
      </c>
      <c r="E247" t="s">
        <v>33</v>
      </c>
      <c r="F247" t="s">
        <v>22</v>
      </c>
      <c r="G247" t="s">
        <v>23</v>
      </c>
      <c r="H247" t="s">
        <v>41</v>
      </c>
      <c r="I247" t="s">
        <v>30</v>
      </c>
      <c r="J247" t="s">
        <v>47</v>
      </c>
      <c r="K247" t="s">
        <v>32</v>
      </c>
      <c r="L247">
        <v>1</v>
      </c>
      <c r="M247">
        <v>619.73</v>
      </c>
      <c r="N247">
        <v>0</v>
      </c>
      <c r="U247" s="21"/>
      <c r="V247" s="21"/>
    </row>
    <row r="248" spans="1:22">
      <c r="A248">
        <v>10296</v>
      </c>
      <c r="B248">
        <v>1129</v>
      </c>
      <c r="C248" s="21">
        <v>44954</v>
      </c>
      <c r="D248" s="21">
        <v>44957</v>
      </c>
      <c r="E248" t="s">
        <v>15</v>
      </c>
      <c r="F248" t="s">
        <v>15</v>
      </c>
      <c r="G248" t="s">
        <v>16</v>
      </c>
      <c r="H248" t="s">
        <v>34</v>
      </c>
      <c r="I248" t="s">
        <v>30</v>
      </c>
      <c r="J248" t="s">
        <v>47</v>
      </c>
      <c r="K248" t="s">
        <v>46</v>
      </c>
      <c r="L248">
        <v>5</v>
      </c>
      <c r="M248">
        <v>2850.33</v>
      </c>
      <c r="N248">
        <v>5</v>
      </c>
      <c r="U248" s="21"/>
      <c r="V248" s="21"/>
    </row>
    <row r="249" spans="1:22">
      <c r="A249">
        <v>10302</v>
      </c>
      <c r="B249">
        <v>1415</v>
      </c>
      <c r="C249" s="21">
        <v>45024</v>
      </c>
      <c r="D249" s="21">
        <v>45027</v>
      </c>
      <c r="E249" t="s">
        <v>15</v>
      </c>
      <c r="F249" t="s">
        <v>28</v>
      </c>
      <c r="G249" t="s">
        <v>23</v>
      </c>
      <c r="H249" t="s">
        <v>17</v>
      </c>
      <c r="I249" t="s">
        <v>30</v>
      </c>
      <c r="J249" t="s">
        <v>64</v>
      </c>
      <c r="K249" t="s">
        <v>32</v>
      </c>
      <c r="L249">
        <v>7</v>
      </c>
      <c r="M249">
        <v>636.59</v>
      </c>
      <c r="N249">
        <v>5</v>
      </c>
      <c r="U249" s="21"/>
      <c r="V249" s="21"/>
    </row>
    <row r="250" spans="1:22">
      <c r="A250">
        <v>10303</v>
      </c>
      <c r="B250">
        <v>1246</v>
      </c>
      <c r="C250" s="21">
        <v>45124</v>
      </c>
      <c r="D250" s="21">
        <v>45125</v>
      </c>
      <c r="E250" t="s">
        <v>36</v>
      </c>
      <c r="F250" t="s">
        <v>28</v>
      </c>
      <c r="G250" t="s">
        <v>16</v>
      </c>
      <c r="H250" t="s">
        <v>24</v>
      </c>
      <c r="I250" t="s">
        <v>56</v>
      </c>
      <c r="J250" t="s">
        <v>65</v>
      </c>
      <c r="K250" t="s">
        <v>20</v>
      </c>
      <c r="L250">
        <v>6</v>
      </c>
      <c r="M250">
        <v>257.2</v>
      </c>
      <c r="N250">
        <v>0</v>
      </c>
      <c r="U250" s="21"/>
      <c r="V250" s="21"/>
    </row>
    <row r="251" spans="1:22">
      <c r="A251">
        <v>10304</v>
      </c>
      <c r="B251">
        <v>1835</v>
      </c>
      <c r="C251" s="21">
        <v>45024</v>
      </c>
      <c r="D251" s="21">
        <v>45027</v>
      </c>
      <c r="E251" t="s">
        <v>39</v>
      </c>
      <c r="F251" t="s">
        <v>22</v>
      </c>
      <c r="G251" t="s">
        <v>23</v>
      </c>
      <c r="H251" t="s">
        <v>24</v>
      </c>
      <c r="I251" t="s">
        <v>25</v>
      </c>
      <c r="J251" t="s">
        <v>60</v>
      </c>
      <c r="K251" t="s">
        <v>20</v>
      </c>
      <c r="L251">
        <v>4</v>
      </c>
      <c r="M251">
        <v>2547.52</v>
      </c>
      <c r="N251">
        <v>20</v>
      </c>
      <c r="U251" s="21"/>
      <c r="V251" s="21"/>
    </row>
    <row r="252" spans="1:22">
      <c r="A252">
        <v>10305</v>
      </c>
      <c r="B252">
        <v>1438</v>
      </c>
      <c r="C252" s="21">
        <v>44991</v>
      </c>
      <c r="D252" s="21">
        <v>44993</v>
      </c>
      <c r="E252" t="s">
        <v>45</v>
      </c>
      <c r="F252" t="s">
        <v>40</v>
      </c>
      <c r="G252" t="s">
        <v>16</v>
      </c>
      <c r="H252" t="s">
        <v>34</v>
      </c>
      <c r="I252" t="s">
        <v>30</v>
      </c>
      <c r="J252" t="s">
        <v>47</v>
      </c>
      <c r="K252" t="s">
        <v>20</v>
      </c>
      <c r="L252">
        <v>2</v>
      </c>
      <c r="M252">
        <v>3256.02</v>
      </c>
      <c r="N252">
        <v>20</v>
      </c>
      <c r="U252" s="21"/>
      <c r="V252" s="21"/>
    </row>
    <row r="253" spans="1:22">
      <c r="A253">
        <v>10306</v>
      </c>
      <c r="B253">
        <v>1202</v>
      </c>
      <c r="C253" s="21">
        <v>45256</v>
      </c>
      <c r="D253" s="21">
        <v>45264</v>
      </c>
      <c r="E253" t="s">
        <v>45</v>
      </c>
      <c r="F253" t="s">
        <v>28</v>
      </c>
      <c r="G253" t="s">
        <v>29</v>
      </c>
      <c r="H253" t="s">
        <v>41</v>
      </c>
      <c r="I253" t="s">
        <v>56</v>
      </c>
      <c r="J253" t="s">
        <v>61</v>
      </c>
      <c r="K253" t="s">
        <v>27</v>
      </c>
      <c r="L253">
        <v>1</v>
      </c>
      <c r="M253">
        <v>3391.76</v>
      </c>
      <c r="N253">
        <v>20</v>
      </c>
      <c r="U253" s="21"/>
      <c r="V253" s="21"/>
    </row>
    <row r="254" spans="1:22">
      <c r="A254">
        <v>10307</v>
      </c>
      <c r="B254">
        <v>1183</v>
      </c>
      <c r="C254" s="21">
        <v>45267</v>
      </c>
      <c r="D254" s="21">
        <v>45273</v>
      </c>
      <c r="E254" t="s">
        <v>14</v>
      </c>
      <c r="F254" t="s">
        <v>15</v>
      </c>
      <c r="G254" t="s">
        <v>23</v>
      </c>
      <c r="H254" t="s">
        <v>41</v>
      </c>
      <c r="I254" t="s">
        <v>56</v>
      </c>
      <c r="J254" t="s">
        <v>57</v>
      </c>
      <c r="K254" t="s">
        <v>27</v>
      </c>
      <c r="L254">
        <v>4</v>
      </c>
      <c r="M254">
        <v>2008.45</v>
      </c>
      <c r="N254">
        <v>5</v>
      </c>
      <c r="U254" s="21"/>
      <c r="V254" s="21"/>
    </row>
    <row r="255" spans="1:22">
      <c r="A255">
        <v>10308</v>
      </c>
      <c r="B255">
        <v>1122</v>
      </c>
      <c r="C255" s="21">
        <v>44931</v>
      </c>
      <c r="D255" s="21">
        <v>44940</v>
      </c>
      <c r="E255" t="s">
        <v>36</v>
      </c>
      <c r="F255" t="s">
        <v>22</v>
      </c>
      <c r="G255" t="s">
        <v>29</v>
      </c>
      <c r="H255" t="s">
        <v>24</v>
      </c>
      <c r="I255" t="s">
        <v>51</v>
      </c>
      <c r="J255" t="s">
        <v>52</v>
      </c>
      <c r="K255" t="s">
        <v>44</v>
      </c>
      <c r="L255">
        <v>4</v>
      </c>
      <c r="M255">
        <v>3143.2</v>
      </c>
      <c r="N255">
        <v>0</v>
      </c>
      <c r="U255" s="21"/>
      <c r="V255" s="21"/>
    </row>
    <row r="256" spans="1:22">
      <c r="A256">
        <v>10309</v>
      </c>
      <c r="B256">
        <v>1400</v>
      </c>
      <c r="C256" s="21">
        <v>44928</v>
      </c>
      <c r="D256" s="21">
        <v>44936</v>
      </c>
      <c r="E256" t="s">
        <v>33</v>
      </c>
      <c r="F256" t="s">
        <v>28</v>
      </c>
      <c r="G256" t="s">
        <v>29</v>
      </c>
      <c r="H256" t="s">
        <v>43</v>
      </c>
      <c r="I256" t="s">
        <v>48</v>
      </c>
      <c r="J256" t="s">
        <v>50</v>
      </c>
      <c r="K256" t="s">
        <v>46</v>
      </c>
      <c r="L256">
        <v>1</v>
      </c>
      <c r="M256">
        <v>2740.46</v>
      </c>
      <c r="N256">
        <v>10</v>
      </c>
      <c r="U256" s="21"/>
      <c r="V256" s="21"/>
    </row>
    <row r="257" spans="1:22">
      <c r="A257">
        <v>10311</v>
      </c>
      <c r="B257">
        <v>1293</v>
      </c>
      <c r="C257" s="21">
        <v>45038</v>
      </c>
      <c r="D257" s="21">
        <v>45043</v>
      </c>
      <c r="E257" t="s">
        <v>45</v>
      </c>
      <c r="F257" t="s">
        <v>22</v>
      </c>
      <c r="G257" t="s">
        <v>23</v>
      </c>
      <c r="H257" t="s">
        <v>17</v>
      </c>
      <c r="I257" t="s">
        <v>18</v>
      </c>
      <c r="J257" t="s">
        <v>42</v>
      </c>
      <c r="K257" t="s">
        <v>32</v>
      </c>
      <c r="L257">
        <v>4</v>
      </c>
      <c r="M257">
        <v>2046.51</v>
      </c>
      <c r="N257">
        <v>5</v>
      </c>
      <c r="U257" s="21"/>
      <c r="V257" s="21"/>
    </row>
    <row r="258" spans="1:22">
      <c r="A258">
        <v>10312</v>
      </c>
      <c r="B258">
        <v>1279</v>
      </c>
      <c r="C258" s="21">
        <v>44983</v>
      </c>
      <c r="D258" s="21">
        <v>44990</v>
      </c>
      <c r="E258" t="s">
        <v>45</v>
      </c>
      <c r="F258" t="s">
        <v>37</v>
      </c>
      <c r="G258" t="s">
        <v>29</v>
      </c>
      <c r="H258" t="s">
        <v>17</v>
      </c>
      <c r="I258" t="s">
        <v>51</v>
      </c>
      <c r="J258" t="s">
        <v>55</v>
      </c>
      <c r="K258" t="s">
        <v>32</v>
      </c>
      <c r="L258">
        <v>1</v>
      </c>
      <c r="M258">
        <v>2588.64</v>
      </c>
      <c r="N258">
        <v>0</v>
      </c>
      <c r="U258" s="21"/>
      <c r="V258" s="21"/>
    </row>
    <row r="259" spans="1:22">
      <c r="A259">
        <v>10313</v>
      </c>
      <c r="B259">
        <v>1836</v>
      </c>
      <c r="C259" s="21">
        <v>44992</v>
      </c>
      <c r="D259" s="21">
        <v>44997</v>
      </c>
      <c r="E259" t="s">
        <v>39</v>
      </c>
      <c r="F259" t="s">
        <v>40</v>
      </c>
      <c r="G259" t="s">
        <v>16</v>
      </c>
      <c r="H259" t="s">
        <v>34</v>
      </c>
      <c r="I259" t="s">
        <v>56</v>
      </c>
      <c r="J259" t="s">
        <v>61</v>
      </c>
      <c r="K259" t="s">
        <v>44</v>
      </c>
      <c r="L259">
        <v>1</v>
      </c>
      <c r="M259">
        <v>3251.27</v>
      </c>
      <c r="N259">
        <v>15</v>
      </c>
      <c r="U259" s="21"/>
      <c r="V259" s="21"/>
    </row>
    <row r="260" spans="1:22">
      <c r="A260">
        <v>10314</v>
      </c>
      <c r="B260">
        <v>1883</v>
      </c>
      <c r="C260" s="21">
        <v>45256</v>
      </c>
      <c r="D260" s="21">
        <v>45264</v>
      </c>
      <c r="E260" t="s">
        <v>36</v>
      </c>
      <c r="F260" t="s">
        <v>15</v>
      </c>
      <c r="G260" t="s">
        <v>23</v>
      </c>
      <c r="H260" t="s">
        <v>24</v>
      </c>
      <c r="I260" t="s">
        <v>25</v>
      </c>
      <c r="J260" t="s">
        <v>67</v>
      </c>
      <c r="K260" t="s">
        <v>27</v>
      </c>
      <c r="L260">
        <v>1</v>
      </c>
      <c r="M260">
        <v>1681.85</v>
      </c>
      <c r="N260">
        <v>5</v>
      </c>
      <c r="U260" s="21"/>
      <c r="V260" s="21"/>
    </row>
    <row r="261" spans="1:22">
      <c r="A261">
        <v>10315</v>
      </c>
      <c r="B261">
        <v>1609</v>
      </c>
      <c r="C261" s="21">
        <v>45024</v>
      </c>
      <c r="D261" s="21">
        <v>45029</v>
      </c>
      <c r="E261" t="s">
        <v>36</v>
      </c>
      <c r="F261" t="s">
        <v>28</v>
      </c>
      <c r="G261" t="s">
        <v>23</v>
      </c>
      <c r="H261" t="s">
        <v>17</v>
      </c>
      <c r="I261" t="s">
        <v>48</v>
      </c>
      <c r="J261" t="s">
        <v>49</v>
      </c>
      <c r="K261" t="s">
        <v>44</v>
      </c>
      <c r="L261">
        <v>8</v>
      </c>
      <c r="M261">
        <v>3253.02</v>
      </c>
      <c r="N261">
        <v>15</v>
      </c>
      <c r="U261" s="21"/>
      <c r="V261" s="21"/>
    </row>
    <row r="262" spans="1:22">
      <c r="A262">
        <v>10316</v>
      </c>
      <c r="B262">
        <v>1197</v>
      </c>
      <c r="C262" s="21">
        <v>45070</v>
      </c>
      <c r="D262" s="21">
        <v>45071</v>
      </c>
      <c r="E262" t="s">
        <v>45</v>
      </c>
      <c r="F262" t="s">
        <v>37</v>
      </c>
      <c r="G262" t="s">
        <v>29</v>
      </c>
      <c r="H262" t="s">
        <v>17</v>
      </c>
      <c r="I262" t="s">
        <v>56</v>
      </c>
      <c r="J262" t="s">
        <v>57</v>
      </c>
      <c r="K262" t="s">
        <v>32</v>
      </c>
      <c r="L262">
        <v>8</v>
      </c>
      <c r="M262">
        <v>2429.2600000000002</v>
      </c>
      <c r="N262">
        <v>15</v>
      </c>
      <c r="U262" s="21"/>
      <c r="V262" s="21"/>
    </row>
    <row r="263" spans="1:22">
      <c r="A263">
        <v>10317</v>
      </c>
      <c r="B263">
        <v>1981</v>
      </c>
      <c r="C263" s="21">
        <v>45051</v>
      </c>
      <c r="D263" s="21">
        <v>45056</v>
      </c>
      <c r="E263" t="s">
        <v>33</v>
      </c>
      <c r="F263" t="s">
        <v>37</v>
      </c>
      <c r="G263" t="s">
        <v>23</v>
      </c>
      <c r="H263" t="s">
        <v>24</v>
      </c>
      <c r="I263" t="s">
        <v>48</v>
      </c>
      <c r="J263" t="s">
        <v>62</v>
      </c>
      <c r="K263" t="s">
        <v>46</v>
      </c>
      <c r="L263">
        <v>2</v>
      </c>
      <c r="M263">
        <v>788.72</v>
      </c>
      <c r="N263">
        <v>20</v>
      </c>
      <c r="U263" s="21"/>
      <c r="V263" s="21"/>
    </row>
    <row r="264" spans="1:22">
      <c r="A264">
        <v>10318</v>
      </c>
      <c r="B264">
        <v>1906</v>
      </c>
      <c r="C264" s="21">
        <v>45093</v>
      </c>
      <c r="D264" s="21">
        <v>45097</v>
      </c>
      <c r="E264" t="s">
        <v>14</v>
      </c>
      <c r="F264" t="s">
        <v>22</v>
      </c>
      <c r="G264" t="s">
        <v>29</v>
      </c>
      <c r="H264" t="s">
        <v>34</v>
      </c>
      <c r="I264" t="s">
        <v>48</v>
      </c>
      <c r="J264" t="s">
        <v>66</v>
      </c>
      <c r="K264" t="s">
        <v>20</v>
      </c>
      <c r="L264">
        <v>7</v>
      </c>
      <c r="M264">
        <v>245.03</v>
      </c>
      <c r="N264">
        <v>0</v>
      </c>
      <c r="U264" s="21"/>
      <c r="V264" s="21"/>
    </row>
    <row r="265" spans="1:22">
      <c r="A265">
        <v>10320</v>
      </c>
      <c r="B265">
        <v>1751</v>
      </c>
      <c r="C265" s="21">
        <v>45002</v>
      </c>
      <c r="D265" s="21">
        <v>45005</v>
      </c>
      <c r="E265" t="s">
        <v>14</v>
      </c>
      <c r="F265" t="s">
        <v>15</v>
      </c>
      <c r="G265" t="s">
        <v>16</v>
      </c>
      <c r="H265" t="s">
        <v>34</v>
      </c>
      <c r="I265" t="s">
        <v>25</v>
      </c>
      <c r="J265" t="s">
        <v>35</v>
      </c>
      <c r="K265" t="s">
        <v>27</v>
      </c>
      <c r="L265">
        <v>8</v>
      </c>
      <c r="M265">
        <v>2254.7800000000002</v>
      </c>
      <c r="N265">
        <v>0</v>
      </c>
      <c r="U265" s="21"/>
      <c r="V265" s="21"/>
    </row>
    <row r="266" spans="1:22">
      <c r="A266">
        <v>10321</v>
      </c>
      <c r="B266">
        <v>1143</v>
      </c>
      <c r="C266" s="21">
        <v>45270</v>
      </c>
      <c r="D266" s="21">
        <v>45275</v>
      </c>
      <c r="E266" t="s">
        <v>36</v>
      </c>
      <c r="F266" t="s">
        <v>15</v>
      </c>
      <c r="G266" t="s">
        <v>29</v>
      </c>
      <c r="H266" t="s">
        <v>41</v>
      </c>
      <c r="I266" t="s">
        <v>51</v>
      </c>
      <c r="J266" t="s">
        <v>59</v>
      </c>
      <c r="K266" t="s">
        <v>44</v>
      </c>
      <c r="L266">
        <v>7</v>
      </c>
      <c r="M266">
        <v>3383.31</v>
      </c>
      <c r="N266">
        <v>20</v>
      </c>
      <c r="U266" s="21"/>
      <c r="V266" s="21"/>
    </row>
    <row r="267" spans="1:22">
      <c r="A267">
        <v>10322</v>
      </c>
      <c r="B267">
        <v>1608</v>
      </c>
      <c r="C267" s="21">
        <v>45220</v>
      </c>
      <c r="D267" s="21">
        <v>45222</v>
      </c>
      <c r="E267" t="s">
        <v>14</v>
      </c>
      <c r="F267" t="s">
        <v>53</v>
      </c>
      <c r="G267" t="s">
        <v>29</v>
      </c>
      <c r="H267" t="s">
        <v>34</v>
      </c>
      <c r="I267" t="s">
        <v>25</v>
      </c>
      <c r="J267" t="s">
        <v>60</v>
      </c>
      <c r="K267" t="s">
        <v>27</v>
      </c>
      <c r="L267">
        <v>5</v>
      </c>
      <c r="M267">
        <v>640.82000000000005</v>
      </c>
      <c r="N267">
        <v>0</v>
      </c>
      <c r="U267" s="21"/>
      <c r="V267" s="21"/>
    </row>
    <row r="268" spans="1:22">
      <c r="A268">
        <v>10324</v>
      </c>
      <c r="B268">
        <v>1123</v>
      </c>
      <c r="C268" s="21">
        <v>45064</v>
      </c>
      <c r="D268" s="21">
        <v>45070</v>
      </c>
      <c r="E268" t="s">
        <v>45</v>
      </c>
      <c r="F268" t="s">
        <v>40</v>
      </c>
      <c r="G268" t="s">
        <v>23</v>
      </c>
      <c r="H268" t="s">
        <v>43</v>
      </c>
      <c r="I268" t="s">
        <v>56</v>
      </c>
      <c r="J268" t="s">
        <v>57</v>
      </c>
      <c r="K268" t="s">
        <v>32</v>
      </c>
      <c r="L268">
        <v>9</v>
      </c>
      <c r="M268">
        <v>3472.58</v>
      </c>
      <c r="N268">
        <v>15</v>
      </c>
      <c r="U268" s="21"/>
      <c r="V268" s="21"/>
    </row>
    <row r="269" spans="1:22">
      <c r="A269">
        <v>10325</v>
      </c>
      <c r="B269">
        <v>1186</v>
      </c>
      <c r="C269" s="21">
        <v>45025</v>
      </c>
      <c r="D269" s="21">
        <v>45030</v>
      </c>
      <c r="E269" t="s">
        <v>36</v>
      </c>
      <c r="F269" t="s">
        <v>37</v>
      </c>
      <c r="G269" t="s">
        <v>29</v>
      </c>
      <c r="H269" t="s">
        <v>34</v>
      </c>
      <c r="I269" t="s">
        <v>51</v>
      </c>
      <c r="J269" t="s">
        <v>63</v>
      </c>
      <c r="K269" t="s">
        <v>44</v>
      </c>
      <c r="L269">
        <v>7</v>
      </c>
      <c r="M269">
        <v>730.15</v>
      </c>
      <c r="N269">
        <v>0</v>
      </c>
      <c r="U269" s="21"/>
      <c r="V269" s="21"/>
    </row>
    <row r="270" spans="1:22">
      <c r="A270">
        <v>10326</v>
      </c>
      <c r="B270">
        <v>1325</v>
      </c>
      <c r="C270" s="21">
        <v>45118</v>
      </c>
      <c r="D270" s="21">
        <v>45124</v>
      </c>
      <c r="E270" t="s">
        <v>36</v>
      </c>
      <c r="F270" t="s">
        <v>15</v>
      </c>
      <c r="G270" t="s">
        <v>23</v>
      </c>
      <c r="H270" t="s">
        <v>43</v>
      </c>
      <c r="I270" t="s">
        <v>51</v>
      </c>
      <c r="J270" t="s">
        <v>59</v>
      </c>
      <c r="K270" t="s">
        <v>32</v>
      </c>
      <c r="L270">
        <v>2</v>
      </c>
      <c r="M270">
        <v>3428.64</v>
      </c>
      <c r="N270">
        <v>10</v>
      </c>
      <c r="U270" s="21"/>
      <c r="V270" s="21"/>
    </row>
    <row r="271" spans="1:22">
      <c r="A271">
        <v>10327</v>
      </c>
      <c r="B271">
        <v>1463</v>
      </c>
      <c r="C271" s="21">
        <v>45169</v>
      </c>
      <c r="D271" s="21">
        <v>45176</v>
      </c>
      <c r="E271" t="s">
        <v>21</v>
      </c>
      <c r="F271" t="s">
        <v>22</v>
      </c>
      <c r="G271" t="s">
        <v>16</v>
      </c>
      <c r="H271" t="s">
        <v>41</v>
      </c>
      <c r="I271" t="s">
        <v>51</v>
      </c>
      <c r="J271" t="s">
        <v>59</v>
      </c>
      <c r="K271" t="s">
        <v>46</v>
      </c>
      <c r="L271">
        <v>6</v>
      </c>
      <c r="M271">
        <v>3967.1</v>
      </c>
      <c r="N271">
        <v>0</v>
      </c>
      <c r="U271" s="21"/>
      <c r="V271" s="21"/>
    </row>
    <row r="272" spans="1:22">
      <c r="A272">
        <v>10328</v>
      </c>
      <c r="B272">
        <v>1348</v>
      </c>
      <c r="C272" s="21">
        <v>45245</v>
      </c>
      <c r="D272" s="21">
        <v>45250</v>
      </c>
      <c r="E272" t="s">
        <v>21</v>
      </c>
      <c r="F272" t="s">
        <v>53</v>
      </c>
      <c r="G272" t="s">
        <v>23</v>
      </c>
      <c r="H272" t="s">
        <v>24</v>
      </c>
      <c r="I272" t="s">
        <v>51</v>
      </c>
      <c r="J272" t="s">
        <v>52</v>
      </c>
      <c r="K272" t="s">
        <v>44</v>
      </c>
      <c r="L272">
        <v>2</v>
      </c>
      <c r="M272">
        <v>2948.33</v>
      </c>
      <c r="N272">
        <v>15</v>
      </c>
      <c r="U272" s="21"/>
      <c r="V272" s="21"/>
    </row>
    <row r="273" spans="1:22">
      <c r="A273">
        <v>10329</v>
      </c>
      <c r="B273">
        <v>1770</v>
      </c>
      <c r="C273" s="21">
        <v>44975</v>
      </c>
      <c r="D273" s="21">
        <v>44976</v>
      </c>
      <c r="E273" t="s">
        <v>39</v>
      </c>
      <c r="F273" t="s">
        <v>37</v>
      </c>
      <c r="G273" t="s">
        <v>16</v>
      </c>
      <c r="H273" t="s">
        <v>43</v>
      </c>
      <c r="I273" t="s">
        <v>25</v>
      </c>
      <c r="J273" t="s">
        <v>26</v>
      </c>
      <c r="K273" t="s">
        <v>46</v>
      </c>
      <c r="L273">
        <v>1</v>
      </c>
      <c r="M273">
        <v>3171.36</v>
      </c>
      <c r="N273">
        <v>20</v>
      </c>
      <c r="U273" s="21"/>
      <c r="V273" s="21"/>
    </row>
    <row r="274" spans="1:22">
      <c r="A274">
        <v>10330</v>
      </c>
      <c r="B274">
        <v>1659</v>
      </c>
      <c r="C274" s="21">
        <v>44958</v>
      </c>
      <c r="D274" s="21">
        <v>44966</v>
      </c>
      <c r="E274" t="s">
        <v>36</v>
      </c>
      <c r="F274" t="s">
        <v>53</v>
      </c>
      <c r="G274" t="s">
        <v>16</v>
      </c>
      <c r="H274" t="s">
        <v>43</v>
      </c>
      <c r="I274" t="s">
        <v>51</v>
      </c>
      <c r="J274" t="s">
        <v>63</v>
      </c>
      <c r="K274" t="s">
        <v>20</v>
      </c>
      <c r="L274">
        <v>7</v>
      </c>
      <c r="M274">
        <v>3978.5</v>
      </c>
      <c r="N274">
        <v>20</v>
      </c>
      <c r="U274" s="21"/>
      <c r="V274" s="21"/>
    </row>
    <row r="275" spans="1:22">
      <c r="A275">
        <v>10332</v>
      </c>
      <c r="B275">
        <v>1954</v>
      </c>
      <c r="C275" s="21">
        <v>44946</v>
      </c>
      <c r="D275" s="21">
        <v>44955</v>
      </c>
      <c r="E275" t="s">
        <v>14</v>
      </c>
      <c r="F275" t="s">
        <v>22</v>
      </c>
      <c r="G275" t="s">
        <v>16</v>
      </c>
      <c r="H275" t="s">
        <v>41</v>
      </c>
      <c r="I275" t="s">
        <v>56</v>
      </c>
      <c r="J275" t="s">
        <v>65</v>
      </c>
      <c r="K275" t="s">
        <v>20</v>
      </c>
      <c r="L275">
        <v>2</v>
      </c>
      <c r="M275">
        <v>1335.36</v>
      </c>
      <c r="N275">
        <v>5</v>
      </c>
      <c r="U275" s="21"/>
      <c r="V275" s="21"/>
    </row>
    <row r="276" spans="1:22">
      <c r="A276">
        <v>10336</v>
      </c>
      <c r="B276">
        <v>1962</v>
      </c>
      <c r="C276" s="21">
        <v>45069</v>
      </c>
      <c r="D276" s="21">
        <v>45072</v>
      </c>
      <c r="E276" t="s">
        <v>15</v>
      </c>
      <c r="F276" t="s">
        <v>40</v>
      </c>
      <c r="G276" t="s">
        <v>23</v>
      </c>
      <c r="H276" t="s">
        <v>41</v>
      </c>
      <c r="I276" t="s">
        <v>18</v>
      </c>
      <c r="J276" t="s">
        <v>68</v>
      </c>
      <c r="K276" t="s">
        <v>32</v>
      </c>
      <c r="L276">
        <v>1</v>
      </c>
      <c r="M276">
        <v>1126.5</v>
      </c>
      <c r="N276">
        <v>15</v>
      </c>
      <c r="U276" s="21"/>
      <c r="V276" s="21"/>
    </row>
    <row r="277" spans="1:22">
      <c r="A277">
        <v>10338</v>
      </c>
      <c r="B277">
        <v>1146</v>
      </c>
      <c r="C277" s="21">
        <v>45139</v>
      </c>
      <c r="D277" s="21">
        <v>45145</v>
      </c>
      <c r="E277" t="s">
        <v>21</v>
      </c>
      <c r="F277" t="s">
        <v>28</v>
      </c>
      <c r="G277" t="s">
        <v>29</v>
      </c>
      <c r="H277" t="s">
        <v>41</v>
      </c>
      <c r="I277" t="s">
        <v>48</v>
      </c>
      <c r="J277" t="s">
        <v>49</v>
      </c>
      <c r="K277" t="s">
        <v>20</v>
      </c>
      <c r="L277">
        <v>3</v>
      </c>
      <c r="M277">
        <v>464.42</v>
      </c>
      <c r="N277">
        <v>20</v>
      </c>
      <c r="U277" s="21"/>
      <c r="V277" s="21"/>
    </row>
    <row r="278" spans="1:22">
      <c r="A278">
        <v>10339</v>
      </c>
      <c r="B278">
        <v>1147</v>
      </c>
      <c r="C278" s="21">
        <v>45005</v>
      </c>
      <c r="D278" s="21">
        <v>45012</v>
      </c>
      <c r="E278" t="s">
        <v>14</v>
      </c>
      <c r="F278" t="s">
        <v>53</v>
      </c>
      <c r="G278" t="s">
        <v>16</v>
      </c>
      <c r="H278" t="s">
        <v>24</v>
      </c>
      <c r="I278" t="s">
        <v>30</v>
      </c>
      <c r="J278" t="s">
        <v>31</v>
      </c>
      <c r="K278" t="s">
        <v>20</v>
      </c>
      <c r="L278">
        <v>4</v>
      </c>
      <c r="M278">
        <v>3708.51</v>
      </c>
      <c r="N278">
        <v>5</v>
      </c>
      <c r="U278" s="21"/>
      <c r="V278" s="21"/>
    </row>
    <row r="279" spans="1:22">
      <c r="A279">
        <v>10341</v>
      </c>
      <c r="B279">
        <v>1710</v>
      </c>
      <c r="C279" s="21">
        <v>45042</v>
      </c>
      <c r="D279" s="21">
        <v>45048</v>
      </c>
      <c r="E279" t="s">
        <v>15</v>
      </c>
      <c r="F279" t="s">
        <v>28</v>
      </c>
      <c r="G279" t="s">
        <v>16</v>
      </c>
      <c r="H279" t="s">
        <v>34</v>
      </c>
      <c r="I279" t="s">
        <v>48</v>
      </c>
      <c r="J279" t="s">
        <v>50</v>
      </c>
      <c r="K279" t="s">
        <v>27</v>
      </c>
      <c r="L279">
        <v>4</v>
      </c>
      <c r="M279">
        <v>641.92999999999995</v>
      </c>
      <c r="N279">
        <v>0</v>
      </c>
      <c r="U279" s="21"/>
      <c r="V279" s="21"/>
    </row>
    <row r="280" spans="1:22">
      <c r="A280">
        <v>10342</v>
      </c>
      <c r="B280">
        <v>1819</v>
      </c>
      <c r="C280" s="21">
        <v>45018</v>
      </c>
      <c r="D280" s="21">
        <v>45019</v>
      </c>
      <c r="E280" t="s">
        <v>14</v>
      </c>
      <c r="F280" t="s">
        <v>53</v>
      </c>
      <c r="G280" t="s">
        <v>16</v>
      </c>
      <c r="H280" t="s">
        <v>34</v>
      </c>
      <c r="I280" t="s">
        <v>25</v>
      </c>
      <c r="J280" t="s">
        <v>26</v>
      </c>
      <c r="K280" t="s">
        <v>46</v>
      </c>
      <c r="L280">
        <v>5</v>
      </c>
      <c r="M280">
        <v>1853.11</v>
      </c>
      <c r="N280">
        <v>10</v>
      </c>
      <c r="U280" s="21"/>
      <c r="V280" s="21"/>
    </row>
    <row r="281" spans="1:22">
      <c r="A281">
        <v>10343</v>
      </c>
      <c r="B281">
        <v>1488</v>
      </c>
      <c r="C281" s="21">
        <v>45196</v>
      </c>
      <c r="D281" s="21">
        <v>45204</v>
      </c>
      <c r="E281" t="s">
        <v>45</v>
      </c>
      <c r="F281" t="s">
        <v>22</v>
      </c>
      <c r="G281" t="s">
        <v>16</v>
      </c>
      <c r="H281" t="s">
        <v>17</v>
      </c>
      <c r="I281" t="s">
        <v>48</v>
      </c>
      <c r="J281" t="s">
        <v>50</v>
      </c>
      <c r="K281" t="s">
        <v>20</v>
      </c>
      <c r="L281">
        <v>7</v>
      </c>
      <c r="M281">
        <v>313.51</v>
      </c>
      <c r="N281">
        <v>0</v>
      </c>
      <c r="U281" s="21"/>
      <c r="V281" s="21"/>
    </row>
    <row r="282" spans="1:22">
      <c r="A282">
        <v>10344</v>
      </c>
      <c r="B282">
        <v>1928</v>
      </c>
      <c r="C282" s="21">
        <v>45094</v>
      </c>
      <c r="D282" s="21">
        <v>45101</v>
      </c>
      <c r="E282" t="s">
        <v>21</v>
      </c>
      <c r="F282" t="s">
        <v>28</v>
      </c>
      <c r="G282" t="s">
        <v>29</v>
      </c>
      <c r="H282" t="s">
        <v>43</v>
      </c>
      <c r="I282" t="s">
        <v>51</v>
      </c>
      <c r="J282" t="s">
        <v>55</v>
      </c>
      <c r="K282" t="s">
        <v>32</v>
      </c>
      <c r="L282">
        <v>4</v>
      </c>
      <c r="M282">
        <v>2785.81</v>
      </c>
      <c r="N282">
        <v>20</v>
      </c>
      <c r="U282" s="21"/>
      <c r="V282" s="21"/>
    </row>
    <row r="283" spans="1:22">
      <c r="A283">
        <v>10345</v>
      </c>
      <c r="B283">
        <v>1935</v>
      </c>
      <c r="C283" s="21">
        <v>44984</v>
      </c>
      <c r="D283" s="21">
        <v>44993</v>
      </c>
      <c r="E283" t="s">
        <v>33</v>
      </c>
      <c r="F283" t="s">
        <v>28</v>
      </c>
      <c r="G283" t="s">
        <v>29</v>
      </c>
      <c r="H283" t="s">
        <v>41</v>
      </c>
      <c r="I283" t="s">
        <v>25</v>
      </c>
      <c r="J283" t="s">
        <v>35</v>
      </c>
      <c r="K283" t="s">
        <v>44</v>
      </c>
      <c r="L283">
        <v>1</v>
      </c>
      <c r="M283">
        <v>3625.42</v>
      </c>
      <c r="N283">
        <v>10</v>
      </c>
      <c r="U283" s="21"/>
      <c r="V283" s="21"/>
    </row>
    <row r="284" spans="1:22">
      <c r="A284">
        <v>10347</v>
      </c>
      <c r="B284">
        <v>1550</v>
      </c>
      <c r="C284" s="21">
        <v>44952</v>
      </c>
      <c r="D284" s="21">
        <v>44954</v>
      </c>
      <c r="E284" t="s">
        <v>14</v>
      </c>
      <c r="F284" t="s">
        <v>28</v>
      </c>
      <c r="G284" t="s">
        <v>23</v>
      </c>
      <c r="H284" t="s">
        <v>43</v>
      </c>
      <c r="I284" t="s">
        <v>18</v>
      </c>
      <c r="J284" t="s">
        <v>19</v>
      </c>
      <c r="K284" t="s">
        <v>44</v>
      </c>
      <c r="L284">
        <v>4</v>
      </c>
      <c r="M284">
        <v>640.37</v>
      </c>
      <c r="N284">
        <v>20</v>
      </c>
      <c r="U284" s="21"/>
      <c r="V284" s="21"/>
    </row>
    <row r="285" spans="1:22">
      <c r="A285">
        <v>10350</v>
      </c>
      <c r="B285">
        <v>1640</v>
      </c>
      <c r="C285" s="21">
        <v>45180</v>
      </c>
      <c r="D285" s="21">
        <v>45185</v>
      </c>
      <c r="E285" t="s">
        <v>14</v>
      </c>
      <c r="F285" t="s">
        <v>40</v>
      </c>
      <c r="G285" t="s">
        <v>16</v>
      </c>
      <c r="H285" t="s">
        <v>43</v>
      </c>
      <c r="I285" t="s">
        <v>56</v>
      </c>
      <c r="J285" t="s">
        <v>61</v>
      </c>
      <c r="K285" t="s">
        <v>20</v>
      </c>
      <c r="L285">
        <v>1</v>
      </c>
      <c r="M285">
        <v>3708.38</v>
      </c>
      <c r="N285">
        <v>20</v>
      </c>
      <c r="U285" s="21"/>
      <c r="V285" s="21"/>
    </row>
    <row r="286" spans="1:22">
      <c r="A286">
        <v>10351</v>
      </c>
      <c r="B286">
        <v>1778</v>
      </c>
      <c r="C286" s="21">
        <v>44970</v>
      </c>
      <c r="D286" s="21">
        <v>44972</v>
      </c>
      <c r="E286" t="s">
        <v>45</v>
      </c>
      <c r="F286" t="s">
        <v>15</v>
      </c>
      <c r="G286" t="s">
        <v>29</v>
      </c>
      <c r="H286" t="s">
        <v>34</v>
      </c>
      <c r="I286" t="s">
        <v>30</v>
      </c>
      <c r="J286" t="s">
        <v>31</v>
      </c>
      <c r="K286" t="s">
        <v>44</v>
      </c>
      <c r="L286">
        <v>3</v>
      </c>
      <c r="M286">
        <v>1923.58</v>
      </c>
      <c r="N286">
        <v>15</v>
      </c>
      <c r="U286" s="21"/>
      <c r="V286" s="21"/>
    </row>
    <row r="287" spans="1:22">
      <c r="A287">
        <v>10352</v>
      </c>
      <c r="B287">
        <v>1987</v>
      </c>
      <c r="C287" s="21">
        <v>45023</v>
      </c>
      <c r="D287" s="21">
        <v>45026</v>
      </c>
      <c r="E287" t="s">
        <v>45</v>
      </c>
      <c r="F287" t="s">
        <v>22</v>
      </c>
      <c r="G287" t="s">
        <v>29</v>
      </c>
      <c r="H287" t="s">
        <v>17</v>
      </c>
      <c r="I287" t="s">
        <v>25</v>
      </c>
      <c r="J287" t="s">
        <v>35</v>
      </c>
      <c r="K287" t="s">
        <v>44</v>
      </c>
      <c r="L287">
        <v>2</v>
      </c>
      <c r="M287">
        <v>2071.04</v>
      </c>
      <c r="N287">
        <v>20</v>
      </c>
      <c r="U287" s="21"/>
      <c r="V287" s="21"/>
    </row>
    <row r="288" spans="1:22">
      <c r="A288">
        <v>10355</v>
      </c>
      <c r="B288">
        <v>1945</v>
      </c>
      <c r="C288" s="21">
        <v>45188</v>
      </c>
      <c r="D288" s="21">
        <v>45191</v>
      </c>
      <c r="E288" t="s">
        <v>36</v>
      </c>
      <c r="F288" t="s">
        <v>22</v>
      </c>
      <c r="G288" t="s">
        <v>29</v>
      </c>
      <c r="H288" t="s">
        <v>34</v>
      </c>
      <c r="I288" t="s">
        <v>51</v>
      </c>
      <c r="J288" t="s">
        <v>52</v>
      </c>
      <c r="K288" t="s">
        <v>20</v>
      </c>
      <c r="L288">
        <v>9</v>
      </c>
      <c r="M288">
        <v>2632.88</v>
      </c>
      <c r="N288">
        <v>5</v>
      </c>
      <c r="U288" s="21"/>
      <c r="V288" s="21"/>
    </row>
    <row r="289" spans="1:22">
      <c r="A289">
        <v>10356</v>
      </c>
      <c r="B289">
        <v>1150</v>
      </c>
      <c r="C289" s="21">
        <v>45093</v>
      </c>
      <c r="D289" s="21">
        <v>45102</v>
      </c>
      <c r="E289" t="s">
        <v>15</v>
      </c>
      <c r="F289" t="s">
        <v>37</v>
      </c>
      <c r="G289" t="s">
        <v>29</v>
      </c>
      <c r="H289" t="s">
        <v>41</v>
      </c>
      <c r="I289" t="s">
        <v>30</v>
      </c>
      <c r="J289" t="s">
        <v>47</v>
      </c>
      <c r="K289" t="s">
        <v>20</v>
      </c>
      <c r="L289">
        <v>9</v>
      </c>
      <c r="M289">
        <v>1259.77</v>
      </c>
      <c r="N289">
        <v>15</v>
      </c>
      <c r="U289" s="21"/>
      <c r="V289" s="21"/>
    </row>
    <row r="290" spans="1:22">
      <c r="A290">
        <v>10357</v>
      </c>
      <c r="B290">
        <v>1414</v>
      </c>
      <c r="C290" s="21">
        <v>45205</v>
      </c>
      <c r="D290" s="21">
        <v>45213</v>
      </c>
      <c r="E290" t="s">
        <v>36</v>
      </c>
      <c r="F290" t="s">
        <v>37</v>
      </c>
      <c r="G290" t="s">
        <v>16</v>
      </c>
      <c r="H290" t="s">
        <v>24</v>
      </c>
      <c r="I290" t="s">
        <v>56</v>
      </c>
      <c r="J290" t="s">
        <v>57</v>
      </c>
      <c r="K290" t="s">
        <v>27</v>
      </c>
      <c r="L290">
        <v>8</v>
      </c>
      <c r="M290">
        <v>1300.31</v>
      </c>
      <c r="N290">
        <v>0</v>
      </c>
      <c r="U290" s="21"/>
      <c r="V290" s="21"/>
    </row>
    <row r="291" spans="1:22">
      <c r="A291">
        <v>10358</v>
      </c>
      <c r="B291">
        <v>1989</v>
      </c>
      <c r="C291" s="21">
        <v>45015</v>
      </c>
      <c r="D291" s="21">
        <v>45019</v>
      </c>
      <c r="E291" t="s">
        <v>14</v>
      </c>
      <c r="F291" t="s">
        <v>28</v>
      </c>
      <c r="G291" t="s">
        <v>29</v>
      </c>
      <c r="H291" t="s">
        <v>34</v>
      </c>
      <c r="I291" t="s">
        <v>56</v>
      </c>
      <c r="J291" t="s">
        <v>57</v>
      </c>
      <c r="K291" t="s">
        <v>32</v>
      </c>
      <c r="L291">
        <v>8</v>
      </c>
      <c r="M291">
        <v>3581.12</v>
      </c>
      <c r="N291">
        <v>15</v>
      </c>
      <c r="U291" s="21"/>
      <c r="V291" s="21"/>
    </row>
    <row r="292" spans="1:22">
      <c r="A292">
        <v>10359</v>
      </c>
      <c r="B292">
        <v>1297</v>
      </c>
      <c r="C292" s="21">
        <v>45104</v>
      </c>
      <c r="D292" s="21">
        <v>45105</v>
      </c>
      <c r="E292" t="s">
        <v>15</v>
      </c>
      <c r="F292" t="s">
        <v>40</v>
      </c>
      <c r="G292" t="s">
        <v>16</v>
      </c>
      <c r="H292" t="s">
        <v>24</v>
      </c>
      <c r="I292" t="s">
        <v>30</v>
      </c>
      <c r="J292" t="s">
        <v>47</v>
      </c>
      <c r="K292" t="s">
        <v>46</v>
      </c>
      <c r="L292">
        <v>1</v>
      </c>
      <c r="M292">
        <v>202.49</v>
      </c>
      <c r="N292">
        <v>5</v>
      </c>
      <c r="U292" s="21"/>
      <c r="V292" s="21"/>
    </row>
    <row r="293" spans="1:22">
      <c r="A293">
        <v>10360</v>
      </c>
      <c r="B293">
        <v>1610</v>
      </c>
      <c r="C293" s="21">
        <v>45123</v>
      </c>
      <c r="D293" s="21">
        <v>45124</v>
      </c>
      <c r="E293" t="s">
        <v>33</v>
      </c>
      <c r="F293" t="s">
        <v>40</v>
      </c>
      <c r="G293" t="s">
        <v>29</v>
      </c>
      <c r="H293" t="s">
        <v>41</v>
      </c>
      <c r="I293" t="s">
        <v>30</v>
      </c>
      <c r="J293" t="s">
        <v>31</v>
      </c>
      <c r="K293" t="s">
        <v>44</v>
      </c>
      <c r="L293">
        <v>8</v>
      </c>
      <c r="M293">
        <v>1392.5</v>
      </c>
      <c r="N293">
        <v>15</v>
      </c>
      <c r="U293" s="21"/>
      <c r="V293" s="21"/>
    </row>
    <row r="294" spans="1:22">
      <c r="A294">
        <v>10361</v>
      </c>
      <c r="B294">
        <v>1262</v>
      </c>
      <c r="C294" s="21">
        <v>45233</v>
      </c>
      <c r="D294" s="21">
        <v>45234</v>
      </c>
      <c r="E294" t="s">
        <v>33</v>
      </c>
      <c r="F294" t="s">
        <v>22</v>
      </c>
      <c r="G294" t="s">
        <v>23</v>
      </c>
      <c r="H294" t="s">
        <v>43</v>
      </c>
      <c r="I294" t="s">
        <v>56</v>
      </c>
      <c r="J294" t="s">
        <v>58</v>
      </c>
      <c r="K294" t="s">
        <v>20</v>
      </c>
      <c r="L294">
        <v>3</v>
      </c>
      <c r="M294">
        <v>2284.27</v>
      </c>
      <c r="N294">
        <v>20</v>
      </c>
      <c r="U294" s="21"/>
      <c r="V294" s="21"/>
    </row>
    <row r="295" spans="1:22">
      <c r="A295">
        <v>10365</v>
      </c>
      <c r="B295">
        <v>1623</v>
      </c>
      <c r="C295" s="21">
        <v>44934</v>
      </c>
      <c r="D295" s="21">
        <v>44940</v>
      </c>
      <c r="E295" t="s">
        <v>15</v>
      </c>
      <c r="F295" t="s">
        <v>40</v>
      </c>
      <c r="G295" t="s">
        <v>16</v>
      </c>
      <c r="H295" t="s">
        <v>34</v>
      </c>
      <c r="I295" t="s">
        <v>51</v>
      </c>
      <c r="J295" t="s">
        <v>52</v>
      </c>
      <c r="K295" t="s">
        <v>32</v>
      </c>
      <c r="L295">
        <v>5</v>
      </c>
      <c r="M295">
        <v>3593.46</v>
      </c>
      <c r="N295">
        <v>20</v>
      </c>
      <c r="U295" s="21"/>
      <c r="V295" s="21"/>
    </row>
    <row r="296" spans="1:22">
      <c r="A296">
        <v>10366</v>
      </c>
      <c r="B296">
        <v>1571</v>
      </c>
      <c r="C296" s="21">
        <v>45223</v>
      </c>
      <c r="D296" s="21">
        <v>45226</v>
      </c>
      <c r="E296" t="s">
        <v>14</v>
      </c>
      <c r="F296" t="s">
        <v>15</v>
      </c>
      <c r="G296" t="s">
        <v>23</v>
      </c>
      <c r="H296" t="s">
        <v>41</v>
      </c>
      <c r="I296" t="s">
        <v>48</v>
      </c>
      <c r="J296" t="s">
        <v>62</v>
      </c>
      <c r="K296" t="s">
        <v>20</v>
      </c>
      <c r="L296">
        <v>5</v>
      </c>
      <c r="M296">
        <v>3320.88</v>
      </c>
      <c r="N296">
        <v>0</v>
      </c>
      <c r="U296" s="21"/>
      <c r="V296" s="21"/>
    </row>
    <row r="297" spans="1:22">
      <c r="A297">
        <v>10367</v>
      </c>
      <c r="B297">
        <v>1880</v>
      </c>
      <c r="C297" s="21">
        <v>45090</v>
      </c>
      <c r="D297" s="21">
        <v>45095</v>
      </c>
      <c r="E297" t="s">
        <v>45</v>
      </c>
      <c r="F297" t="s">
        <v>40</v>
      </c>
      <c r="G297" t="s">
        <v>29</v>
      </c>
      <c r="H297" t="s">
        <v>34</v>
      </c>
      <c r="I297" t="s">
        <v>56</v>
      </c>
      <c r="J297" t="s">
        <v>61</v>
      </c>
      <c r="K297" t="s">
        <v>44</v>
      </c>
      <c r="L297">
        <v>8</v>
      </c>
      <c r="M297">
        <v>3610.33</v>
      </c>
      <c r="N297">
        <v>5</v>
      </c>
      <c r="U297" s="21"/>
      <c r="V297" s="21"/>
    </row>
    <row r="298" spans="1:22">
      <c r="A298">
        <v>10369</v>
      </c>
      <c r="B298">
        <v>1896</v>
      </c>
      <c r="C298" s="21">
        <v>44998</v>
      </c>
      <c r="D298" s="21">
        <v>45000</v>
      </c>
      <c r="E298" t="s">
        <v>21</v>
      </c>
      <c r="F298" t="s">
        <v>22</v>
      </c>
      <c r="G298" t="s">
        <v>16</v>
      </c>
      <c r="H298" t="s">
        <v>34</v>
      </c>
      <c r="I298" t="s">
        <v>25</v>
      </c>
      <c r="J298" t="s">
        <v>35</v>
      </c>
      <c r="K298" t="s">
        <v>46</v>
      </c>
      <c r="L298">
        <v>8</v>
      </c>
      <c r="M298">
        <v>3277.19</v>
      </c>
      <c r="N298">
        <v>15</v>
      </c>
      <c r="U298" s="21"/>
      <c r="V298" s="21"/>
    </row>
    <row r="299" spans="1:22">
      <c r="A299">
        <v>10370</v>
      </c>
      <c r="B299">
        <v>1303</v>
      </c>
      <c r="C299" s="21">
        <v>44981</v>
      </c>
      <c r="D299" s="21">
        <v>44987</v>
      </c>
      <c r="E299" t="s">
        <v>21</v>
      </c>
      <c r="F299" t="s">
        <v>40</v>
      </c>
      <c r="G299" t="s">
        <v>29</v>
      </c>
      <c r="H299" t="s">
        <v>17</v>
      </c>
      <c r="I299" t="s">
        <v>48</v>
      </c>
      <c r="J299" t="s">
        <v>62</v>
      </c>
      <c r="K299" t="s">
        <v>27</v>
      </c>
      <c r="L299">
        <v>6</v>
      </c>
      <c r="M299">
        <v>1628.56</v>
      </c>
      <c r="N299">
        <v>0</v>
      </c>
      <c r="U299" s="21"/>
      <c r="V299" s="21"/>
    </row>
    <row r="300" spans="1:22">
      <c r="A300">
        <v>10371</v>
      </c>
      <c r="B300">
        <v>1253</v>
      </c>
      <c r="C300" s="21">
        <v>44973</v>
      </c>
      <c r="D300" s="21">
        <v>44979</v>
      </c>
      <c r="E300" t="s">
        <v>33</v>
      </c>
      <c r="F300" t="s">
        <v>40</v>
      </c>
      <c r="G300" t="s">
        <v>16</v>
      </c>
      <c r="H300" t="s">
        <v>17</v>
      </c>
      <c r="I300" t="s">
        <v>48</v>
      </c>
      <c r="J300" t="s">
        <v>66</v>
      </c>
      <c r="K300" t="s">
        <v>46</v>
      </c>
      <c r="L300">
        <v>6</v>
      </c>
      <c r="M300">
        <v>2715.13</v>
      </c>
      <c r="N300">
        <v>20</v>
      </c>
      <c r="U300" s="21"/>
      <c r="V300" s="21"/>
    </row>
    <row r="301" spans="1:22">
      <c r="A301">
        <v>10372</v>
      </c>
      <c r="B301">
        <v>1651</v>
      </c>
      <c r="C301" s="21">
        <v>45164</v>
      </c>
      <c r="D301" s="21">
        <v>45167</v>
      </c>
      <c r="E301" t="s">
        <v>15</v>
      </c>
      <c r="F301" t="s">
        <v>22</v>
      </c>
      <c r="G301" t="s">
        <v>23</v>
      </c>
      <c r="H301" t="s">
        <v>34</v>
      </c>
      <c r="I301" t="s">
        <v>48</v>
      </c>
      <c r="J301" t="s">
        <v>62</v>
      </c>
      <c r="K301" t="s">
        <v>20</v>
      </c>
      <c r="L301">
        <v>2</v>
      </c>
      <c r="M301">
        <v>3957.02</v>
      </c>
      <c r="N301">
        <v>5</v>
      </c>
      <c r="U301" s="21"/>
      <c r="V301" s="21"/>
    </row>
    <row r="302" spans="1:22">
      <c r="A302">
        <v>10373</v>
      </c>
      <c r="B302">
        <v>1452</v>
      </c>
      <c r="C302" s="21">
        <v>45030</v>
      </c>
      <c r="D302" s="21">
        <v>45036</v>
      </c>
      <c r="E302" t="s">
        <v>21</v>
      </c>
      <c r="F302" t="s">
        <v>15</v>
      </c>
      <c r="G302" t="s">
        <v>23</v>
      </c>
      <c r="H302" t="s">
        <v>17</v>
      </c>
      <c r="I302" t="s">
        <v>51</v>
      </c>
      <c r="J302" t="s">
        <v>52</v>
      </c>
      <c r="K302" t="s">
        <v>20</v>
      </c>
      <c r="L302">
        <v>6</v>
      </c>
      <c r="M302">
        <v>1019.05</v>
      </c>
      <c r="N302">
        <v>0</v>
      </c>
      <c r="U302" s="21"/>
      <c r="V302" s="21"/>
    </row>
    <row r="303" spans="1:22">
      <c r="A303">
        <v>10374</v>
      </c>
      <c r="B303">
        <v>1036</v>
      </c>
      <c r="C303" s="21">
        <v>45136</v>
      </c>
      <c r="D303" s="21">
        <v>45141</v>
      </c>
      <c r="E303" t="s">
        <v>36</v>
      </c>
      <c r="F303" t="s">
        <v>15</v>
      </c>
      <c r="G303" t="s">
        <v>16</v>
      </c>
      <c r="H303" t="s">
        <v>41</v>
      </c>
      <c r="I303" t="s">
        <v>56</v>
      </c>
      <c r="J303" t="s">
        <v>57</v>
      </c>
      <c r="K303" t="s">
        <v>32</v>
      </c>
      <c r="L303">
        <v>5</v>
      </c>
      <c r="M303">
        <v>1651.11</v>
      </c>
      <c r="N303">
        <v>20</v>
      </c>
      <c r="U303" s="21"/>
      <c r="V303" s="21"/>
    </row>
    <row r="304" spans="1:22">
      <c r="A304">
        <v>10376</v>
      </c>
      <c r="B304">
        <v>1008</v>
      </c>
      <c r="C304" s="21">
        <v>45242</v>
      </c>
      <c r="D304" s="21">
        <v>45251</v>
      </c>
      <c r="E304" t="s">
        <v>36</v>
      </c>
      <c r="F304" t="s">
        <v>53</v>
      </c>
      <c r="G304" t="s">
        <v>29</v>
      </c>
      <c r="H304" t="s">
        <v>17</v>
      </c>
      <c r="I304" t="s">
        <v>56</v>
      </c>
      <c r="J304" t="s">
        <v>58</v>
      </c>
      <c r="K304" t="s">
        <v>44</v>
      </c>
      <c r="L304">
        <v>6</v>
      </c>
      <c r="M304">
        <v>681.36</v>
      </c>
      <c r="N304">
        <v>15</v>
      </c>
      <c r="U304" s="21"/>
      <c r="V304" s="21"/>
    </row>
    <row r="305" spans="1:22">
      <c r="A305">
        <v>10379</v>
      </c>
      <c r="B305">
        <v>1658</v>
      </c>
      <c r="C305" s="21">
        <v>45262</v>
      </c>
      <c r="D305" s="21">
        <v>45270</v>
      </c>
      <c r="E305" t="s">
        <v>14</v>
      </c>
      <c r="F305" t="s">
        <v>15</v>
      </c>
      <c r="G305" t="s">
        <v>23</v>
      </c>
      <c r="H305" t="s">
        <v>34</v>
      </c>
      <c r="I305" t="s">
        <v>25</v>
      </c>
      <c r="J305" t="s">
        <v>67</v>
      </c>
      <c r="K305" t="s">
        <v>44</v>
      </c>
      <c r="L305">
        <v>1</v>
      </c>
      <c r="M305">
        <v>3910.66</v>
      </c>
      <c r="N305">
        <v>5</v>
      </c>
      <c r="U305" s="21"/>
      <c r="V305" s="21"/>
    </row>
    <row r="306" spans="1:22">
      <c r="A306">
        <v>10381</v>
      </c>
      <c r="B306">
        <v>1207</v>
      </c>
      <c r="C306" s="21">
        <v>45185</v>
      </c>
      <c r="D306" s="21">
        <v>45188</v>
      </c>
      <c r="E306" t="s">
        <v>15</v>
      </c>
      <c r="F306" t="s">
        <v>22</v>
      </c>
      <c r="G306" t="s">
        <v>23</v>
      </c>
      <c r="H306" t="s">
        <v>43</v>
      </c>
      <c r="I306" t="s">
        <v>51</v>
      </c>
      <c r="J306" t="s">
        <v>55</v>
      </c>
      <c r="K306" t="s">
        <v>46</v>
      </c>
      <c r="L306">
        <v>3</v>
      </c>
      <c r="M306">
        <v>487.45</v>
      </c>
      <c r="N306">
        <v>5</v>
      </c>
      <c r="U306" s="21"/>
      <c r="V306" s="21"/>
    </row>
    <row r="307" spans="1:22">
      <c r="A307">
        <v>10383</v>
      </c>
      <c r="B307">
        <v>1403</v>
      </c>
      <c r="C307" s="21">
        <v>45040</v>
      </c>
      <c r="D307" s="21">
        <v>45042</v>
      </c>
      <c r="E307" t="s">
        <v>36</v>
      </c>
      <c r="F307" t="s">
        <v>22</v>
      </c>
      <c r="G307" t="s">
        <v>23</v>
      </c>
      <c r="H307" t="s">
        <v>41</v>
      </c>
      <c r="I307" t="s">
        <v>30</v>
      </c>
      <c r="J307" t="s">
        <v>47</v>
      </c>
      <c r="K307" t="s">
        <v>32</v>
      </c>
      <c r="L307">
        <v>1</v>
      </c>
      <c r="M307">
        <v>3581.58</v>
      </c>
      <c r="N307">
        <v>15</v>
      </c>
      <c r="U307" s="21"/>
      <c r="V307" s="21"/>
    </row>
    <row r="308" spans="1:22">
      <c r="A308">
        <v>10384</v>
      </c>
      <c r="B308">
        <v>1151</v>
      </c>
      <c r="C308" s="21">
        <v>45289</v>
      </c>
      <c r="D308" s="21">
        <v>45297</v>
      </c>
      <c r="E308" t="s">
        <v>21</v>
      </c>
      <c r="F308" t="s">
        <v>15</v>
      </c>
      <c r="G308" t="s">
        <v>23</v>
      </c>
      <c r="H308" t="s">
        <v>41</v>
      </c>
      <c r="I308" t="s">
        <v>18</v>
      </c>
      <c r="J308" t="s">
        <v>54</v>
      </c>
      <c r="K308" t="s">
        <v>27</v>
      </c>
      <c r="L308">
        <v>5</v>
      </c>
      <c r="M308">
        <v>1935.68</v>
      </c>
      <c r="N308">
        <v>20</v>
      </c>
      <c r="U308" s="21"/>
      <c r="V308" s="21"/>
    </row>
    <row r="309" spans="1:22">
      <c r="A309">
        <v>10385</v>
      </c>
      <c r="B309">
        <v>1053</v>
      </c>
      <c r="C309" s="21">
        <v>44966</v>
      </c>
      <c r="D309" s="21">
        <v>44967</v>
      </c>
      <c r="E309" t="s">
        <v>15</v>
      </c>
      <c r="F309" t="s">
        <v>22</v>
      </c>
      <c r="G309" t="s">
        <v>23</v>
      </c>
      <c r="H309" t="s">
        <v>41</v>
      </c>
      <c r="I309" t="s">
        <v>51</v>
      </c>
      <c r="J309" t="s">
        <v>63</v>
      </c>
      <c r="K309" t="s">
        <v>32</v>
      </c>
      <c r="L309">
        <v>3</v>
      </c>
      <c r="M309">
        <v>1382.11</v>
      </c>
      <c r="N309">
        <v>10</v>
      </c>
      <c r="U309" s="21"/>
      <c r="V309" s="21"/>
    </row>
    <row r="310" spans="1:22">
      <c r="A310">
        <v>10386</v>
      </c>
      <c r="B310">
        <v>1119</v>
      </c>
      <c r="C310" s="21">
        <v>45146</v>
      </c>
      <c r="D310" s="21">
        <v>45154</v>
      </c>
      <c r="E310" t="s">
        <v>14</v>
      </c>
      <c r="F310" t="s">
        <v>22</v>
      </c>
      <c r="G310" t="s">
        <v>23</v>
      </c>
      <c r="H310" t="s">
        <v>43</v>
      </c>
      <c r="I310" t="s">
        <v>48</v>
      </c>
      <c r="J310" t="s">
        <v>66</v>
      </c>
      <c r="K310" t="s">
        <v>27</v>
      </c>
      <c r="L310">
        <v>2</v>
      </c>
      <c r="M310">
        <v>1984.38</v>
      </c>
      <c r="N310">
        <v>10</v>
      </c>
      <c r="U310" s="21"/>
      <c r="V310" s="21"/>
    </row>
    <row r="311" spans="1:22">
      <c r="A311">
        <v>10387</v>
      </c>
      <c r="B311">
        <v>1672</v>
      </c>
      <c r="C311" s="21">
        <v>45055</v>
      </c>
      <c r="D311" s="21">
        <v>45062</v>
      </c>
      <c r="E311" t="s">
        <v>45</v>
      </c>
      <c r="F311" t="s">
        <v>28</v>
      </c>
      <c r="G311" t="s">
        <v>23</v>
      </c>
      <c r="H311" t="s">
        <v>41</v>
      </c>
      <c r="I311" t="s">
        <v>30</v>
      </c>
      <c r="J311" t="s">
        <v>31</v>
      </c>
      <c r="K311" t="s">
        <v>32</v>
      </c>
      <c r="L311">
        <v>8</v>
      </c>
      <c r="M311">
        <v>1375.47</v>
      </c>
      <c r="N311">
        <v>15</v>
      </c>
      <c r="U311" s="21"/>
      <c r="V311" s="21"/>
    </row>
    <row r="312" spans="1:22">
      <c r="A312">
        <v>10388</v>
      </c>
      <c r="B312">
        <v>1919</v>
      </c>
      <c r="C312" s="21">
        <v>44934</v>
      </c>
      <c r="D312" s="21">
        <v>44941</v>
      </c>
      <c r="E312" t="s">
        <v>21</v>
      </c>
      <c r="F312" t="s">
        <v>53</v>
      </c>
      <c r="G312" t="s">
        <v>29</v>
      </c>
      <c r="H312" t="s">
        <v>17</v>
      </c>
      <c r="I312" t="s">
        <v>30</v>
      </c>
      <c r="J312" t="s">
        <v>38</v>
      </c>
      <c r="K312" t="s">
        <v>32</v>
      </c>
      <c r="L312">
        <v>3</v>
      </c>
      <c r="M312">
        <v>2032.79</v>
      </c>
      <c r="N312">
        <v>10</v>
      </c>
      <c r="U312" s="21"/>
      <c r="V312" s="21"/>
    </row>
    <row r="313" spans="1:22">
      <c r="A313">
        <v>10390</v>
      </c>
      <c r="B313">
        <v>1586</v>
      </c>
      <c r="C313" s="21">
        <v>45102</v>
      </c>
      <c r="D313" s="21">
        <v>45103</v>
      </c>
      <c r="E313" t="s">
        <v>39</v>
      </c>
      <c r="F313" t="s">
        <v>53</v>
      </c>
      <c r="G313" t="s">
        <v>23</v>
      </c>
      <c r="H313" t="s">
        <v>34</v>
      </c>
      <c r="I313" t="s">
        <v>30</v>
      </c>
      <c r="J313" t="s">
        <v>47</v>
      </c>
      <c r="K313" t="s">
        <v>46</v>
      </c>
      <c r="L313">
        <v>1</v>
      </c>
      <c r="M313">
        <v>2430.36</v>
      </c>
      <c r="N313">
        <v>15</v>
      </c>
      <c r="U313" s="21"/>
      <c r="V313" s="21"/>
    </row>
    <row r="314" spans="1:22">
      <c r="A314">
        <v>10392</v>
      </c>
      <c r="B314">
        <v>1967</v>
      </c>
      <c r="C314" s="21">
        <v>45027</v>
      </c>
      <c r="D314" s="21">
        <v>45036</v>
      </c>
      <c r="E314" t="s">
        <v>21</v>
      </c>
      <c r="F314" t="s">
        <v>37</v>
      </c>
      <c r="G314" t="s">
        <v>23</v>
      </c>
      <c r="H314" t="s">
        <v>24</v>
      </c>
      <c r="I314" t="s">
        <v>51</v>
      </c>
      <c r="J314" t="s">
        <v>59</v>
      </c>
      <c r="K314" t="s">
        <v>32</v>
      </c>
      <c r="L314">
        <v>3</v>
      </c>
      <c r="M314">
        <v>1553.98</v>
      </c>
      <c r="N314">
        <v>15</v>
      </c>
      <c r="U314" s="21"/>
      <c r="V314" s="21"/>
    </row>
    <row r="315" spans="1:22">
      <c r="A315">
        <v>10393</v>
      </c>
      <c r="B315">
        <v>1419</v>
      </c>
      <c r="C315" s="21">
        <v>45186</v>
      </c>
      <c r="D315" s="21">
        <v>45191</v>
      </c>
      <c r="E315" t="s">
        <v>39</v>
      </c>
      <c r="F315" t="s">
        <v>22</v>
      </c>
      <c r="G315" t="s">
        <v>23</v>
      </c>
      <c r="H315" t="s">
        <v>34</v>
      </c>
      <c r="I315" t="s">
        <v>51</v>
      </c>
      <c r="J315" t="s">
        <v>59</v>
      </c>
      <c r="K315" t="s">
        <v>44</v>
      </c>
      <c r="L315">
        <v>8</v>
      </c>
      <c r="M315">
        <v>2993.25</v>
      </c>
      <c r="N315">
        <v>10</v>
      </c>
      <c r="U315" s="21"/>
      <c r="V315" s="21"/>
    </row>
    <row r="316" spans="1:22">
      <c r="A316">
        <v>10394</v>
      </c>
      <c r="B316">
        <v>1421</v>
      </c>
      <c r="C316" s="21">
        <v>45172</v>
      </c>
      <c r="D316" s="21">
        <v>45173</v>
      </c>
      <c r="E316" t="s">
        <v>21</v>
      </c>
      <c r="F316" t="s">
        <v>28</v>
      </c>
      <c r="G316" t="s">
        <v>16</v>
      </c>
      <c r="H316" t="s">
        <v>17</v>
      </c>
      <c r="I316" t="s">
        <v>48</v>
      </c>
      <c r="J316" t="s">
        <v>49</v>
      </c>
      <c r="K316" t="s">
        <v>46</v>
      </c>
      <c r="L316">
        <v>6</v>
      </c>
      <c r="M316">
        <v>2716.48</v>
      </c>
      <c r="N316">
        <v>0</v>
      </c>
      <c r="U316" s="21"/>
      <c r="V316" s="21"/>
    </row>
    <row r="317" spans="1:22">
      <c r="A317">
        <v>10395</v>
      </c>
      <c r="B317">
        <v>1103</v>
      </c>
      <c r="C317" s="21">
        <v>45201</v>
      </c>
      <c r="D317" s="21">
        <v>45206</v>
      </c>
      <c r="E317" t="s">
        <v>15</v>
      </c>
      <c r="F317" t="s">
        <v>22</v>
      </c>
      <c r="G317" t="s">
        <v>23</v>
      </c>
      <c r="H317" t="s">
        <v>43</v>
      </c>
      <c r="I317" t="s">
        <v>25</v>
      </c>
      <c r="J317" t="s">
        <v>35</v>
      </c>
      <c r="K317" t="s">
        <v>44</v>
      </c>
      <c r="L317">
        <v>2</v>
      </c>
      <c r="M317">
        <v>610.30999999999995</v>
      </c>
      <c r="N317">
        <v>10</v>
      </c>
      <c r="U317" s="21"/>
      <c r="V317" s="21"/>
    </row>
    <row r="318" spans="1:22">
      <c r="A318">
        <v>10396</v>
      </c>
      <c r="B318">
        <v>1851</v>
      </c>
      <c r="C318" s="21">
        <v>44958</v>
      </c>
      <c r="D318" s="21">
        <v>44966</v>
      </c>
      <c r="E318" t="s">
        <v>45</v>
      </c>
      <c r="F318" t="s">
        <v>15</v>
      </c>
      <c r="G318" t="s">
        <v>29</v>
      </c>
      <c r="H318" t="s">
        <v>43</v>
      </c>
      <c r="I318" t="s">
        <v>48</v>
      </c>
      <c r="J318" t="s">
        <v>50</v>
      </c>
      <c r="K318" t="s">
        <v>46</v>
      </c>
      <c r="L318">
        <v>6</v>
      </c>
      <c r="M318">
        <v>2354.67</v>
      </c>
      <c r="N318">
        <v>15</v>
      </c>
      <c r="U318" s="21"/>
      <c r="V318" s="21"/>
    </row>
    <row r="319" spans="1:22">
      <c r="A319">
        <v>10398</v>
      </c>
      <c r="B319">
        <v>1226</v>
      </c>
      <c r="C319" s="21">
        <v>44938</v>
      </c>
      <c r="D319" s="21">
        <v>44943</v>
      </c>
      <c r="E319" t="s">
        <v>21</v>
      </c>
      <c r="F319" t="s">
        <v>28</v>
      </c>
      <c r="G319" t="s">
        <v>16</v>
      </c>
      <c r="H319" t="s">
        <v>43</v>
      </c>
      <c r="I319" t="s">
        <v>48</v>
      </c>
      <c r="J319" t="s">
        <v>62</v>
      </c>
      <c r="K319" t="s">
        <v>32</v>
      </c>
      <c r="L319">
        <v>5</v>
      </c>
      <c r="M319">
        <v>3245.77</v>
      </c>
      <c r="N319">
        <v>0</v>
      </c>
      <c r="U319" s="21"/>
      <c r="V319" s="21"/>
    </row>
    <row r="320" spans="1:22">
      <c r="A320">
        <v>10399</v>
      </c>
      <c r="B320">
        <v>1111</v>
      </c>
      <c r="C320" s="21">
        <v>45228</v>
      </c>
      <c r="D320" s="21">
        <v>45237</v>
      </c>
      <c r="E320" t="s">
        <v>15</v>
      </c>
      <c r="F320" t="s">
        <v>15</v>
      </c>
      <c r="G320" t="s">
        <v>23</v>
      </c>
      <c r="H320" t="s">
        <v>41</v>
      </c>
      <c r="I320" t="s">
        <v>18</v>
      </c>
      <c r="J320" t="s">
        <v>42</v>
      </c>
      <c r="K320" t="s">
        <v>32</v>
      </c>
      <c r="L320">
        <v>3</v>
      </c>
      <c r="M320">
        <v>1789.86</v>
      </c>
      <c r="N320">
        <v>0</v>
      </c>
      <c r="U320" s="21"/>
      <c r="V320" s="21"/>
    </row>
    <row r="321" spans="1:22">
      <c r="A321">
        <v>10403</v>
      </c>
      <c r="B321">
        <v>1152</v>
      </c>
      <c r="C321" s="21">
        <v>45035</v>
      </c>
      <c r="D321" s="21">
        <v>45037</v>
      </c>
      <c r="E321" t="s">
        <v>15</v>
      </c>
      <c r="F321" t="s">
        <v>37</v>
      </c>
      <c r="G321" t="s">
        <v>23</v>
      </c>
      <c r="H321" t="s">
        <v>43</v>
      </c>
      <c r="I321" t="s">
        <v>25</v>
      </c>
      <c r="J321" t="s">
        <v>35</v>
      </c>
      <c r="K321" t="s">
        <v>20</v>
      </c>
      <c r="L321">
        <v>1</v>
      </c>
      <c r="M321">
        <v>2743.75</v>
      </c>
      <c r="N321">
        <v>15</v>
      </c>
      <c r="U321" s="21"/>
      <c r="V321" s="21"/>
    </row>
    <row r="322" spans="1:22">
      <c r="A322">
        <v>10405</v>
      </c>
      <c r="B322">
        <v>1913</v>
      </c>
      <c r="C322" s="21">
        <v>45084</v>
      </c>
      <c r="D322" s="21">
        <v>45091</v>
      </c>
      <c r="E322" t="s">
        <v>45</v>
      </c>
      <c r="F322" t="s">
        <v>22</v>
      </c>
      <c r="G322" t="s">
        <v>23</v>
      </c>
      <c r="H322" t="s">
        <v>24</v>
      </c>
      <c r="I322" t="s">
        <v>18</v>
      </c>
      <c r="J322" t="s">
        <v>68</v>
      </c>
      <c r="K322" t="s">
        <v>44</v>
      </c>
      <c r="L322">
        <v>4</v>
      </c>
      <c r="M322">
        <v>1333.99</v>
      </c>
      <c r="N322">
        <v>5</v>
      </c>
      <c r="U322" s="21"/>
      <c r="V322" s="21"/>
    </row>
    <row r="323" spans="1:22">
      <c r="A323">
        <v>10406</v>
      </c>
      <c r="B323">
        <v>1895</v>
      </c>
      <c r="C323" s="21">
        <v>45195</v>
      </c>
      <c r="D323" s="21">
        <v>45204</v>
      </c>
      <c r="E323" t="s">
        <v>15</v>
      </c>
      <c r="F323" t="s">
        <v>28</v>
      </c>
      <c r="G323" t="s">
        <v>29</v>
      </c>
      <c r="H323" t="s">
        <v>43</v>
      </c>
      <c r="I323" t="s">
        <v>48</v>
      </c>
      <c r="J323" t="s">
        <v>50</v>
      </c>
      <c r="K323" t="s">
        <v>20</v>
      </c>
      <c r="L323">
        <v>1</v>
      </c>
      <c r="M323">
        <v>2044.41</v>
      </c>
      <c r="N323">
        <v>0</v>
      </c>
      <c r="U323" s="21"/>
      <c r="V323" s="21"/>
    </row>
    <row r="324" spans="1:22">
      <c r="A324">
        <v>10407</v>
      </c>
      <c r="B324">
        <v>1877</v>
      </c>
      <c r="C324" s="21">
        <v>45088</v>
      </c>
      <c r="D324" s="21">
        <v>45090</v>
      </c>
      <c r="E324" t="s">
        <v>21</v>
      </c>
      <c r="F324" t="s">
        <v>22</v>
      </c>
      <c r="G324" t="s">
        <v>23</v>
      </c>
      <c r="H324" t="s">
        <v>24</v>
      </c>
      <c r="I324" t="s">
        <v>51</v>
      </c>
      <c r="J324" t="s">
        <v>52</v>
      </c>
      <c r="K324" t="s">
        <v>32</v>
      </c>
      <c r="L324">
        <v>9</v>
      </c>
      <c r="M324">
        <v>3216.56</v>
      </c>
      <c r="N324">
        <v>20</v>
      </c>
      <c r="U324" s="21"/>
      <c r="V324" s="21"/>
    </row>
    <row r="325" spans="1:22">
      <c r="A325">
        <v>10409</v>
      </c>
      <c r="B325">
        <v>1705</v>
      </c>
      <c r="C325" s="21">
        <v>45028</v>
      </c>
      <c r="D325" s="21">
        <v>45034</v>
      </c>
      <c r="E325" t="s">
        <v>36</v>
      </c>
      <c r="F325" t="s">
        <v>15</v>
      </c>
      <c r="G325" t="s">
        <v>23</v>
      </c>
      <c r="H325" t="s">
        <v>17</v>
      </c>
      <c r="I325" t="s">
        <v>30</v>
      </c>
      <c r="J325" t="s">
        <v>38</v>
      </c>
      <c r="K325" t="s">
        <v>32</v>
      </c>
      <c r="L325">
        <v>7</v>
      </c>
      <c r="M325">
        <v>1020.23</v>
      </c>
      <c r="N325">
        <v>10</v>
      </c>
      <c r="U325" s="21"/>
      <c r="V325" s="21"/>
    </row>
    <row r="326" spans="1:22">
      <c r="A326">
        <v>10411</v>
      </c>
      <c r="B326">
        <v>1162</v>
      </c>
      <c r="C326" s="21">
        <v>44985</v>
      </c>
      <c r="D326" s="21">
        <v>44993</v>
      </c>
      <c r="E326" t="s">
        <v>45</v>
      </c>
      <c r="F326" t="s">
        <v>15</v>
      </c>
      <c r="G326" t="s">
        <v>29</v>
      </c>
      <c r="H326" t="s">
        <v>24</v>
      </c>
      <c r="I326" t="s">
        <v>18</v>
      </c>
      <c r="J326" t="s">
        <v>42</v>
      </c>
      <c r="K326" t="s">
        <v>32</v>
      </c>
      <c r="L326">
        <v>3</v>
      </c>
      <c r="M326">
        <v>2165.7199999999998</v>
      </c>
      <c r="N326">
        <v>5</v>
      </c>
      <c r="U326" s="21"/>
      <c r="V326" s="21"/>
    </row>
    <row r="327" spans="1:22">
      <c r="A327">
        <v>10413</v>
      </c>
      <c r="B327">
        <v>1956</v>
      </c>
      <c r="C327" s="21">
        <v>45054</v>
      </c>
      <c r="D327" s="21">
        <v>45056</v>
      </c>
      <c r="E327" t="s">
        <v>36</v>
      </c>
      <c r="F327" t="s">
        <v>53</v>
      </c>
      <c r="G327" t="s">
        <v>23</v>
      </c>
      <c r="H327" t="s">
        <v>17</v>
      </c>
      <c r="I327" t="s">
        <v>51</v>
      </c>
      <c r="J327" t="s">
        <v>52</v>
      </c>
      <c r="K327" t="s">
        <v>27</v>
      </c>
      <c r="L327">
        <v>8</v>
      </c>
      <c r="M327">
        <v>1297.5899999999999</v>
      </c>
      <c r="N327">
        <v>0</v>
      </c>
      <c r="U327" s="21"/>
      <c r="V327" s="21"/>
    </row>
    <row r="328" spans="1:22">
      <c r="A328">
        <v>10414</v>
      </c>
      <c r="B328">
        <v>1680</v>
      </c>
      <c r="C328" s="21">
        <v>45209</v>
      </c>
      <c r="D328" s="21">
        <v>45212</v>
      </c>
      <c r="E328" t="s">
        <v>45</v>
      </c>
      <c r="F328" t="s">
        <v>53</v>
      </c>
      <c r="G328" t="s">
        <v>29</v>
      </c>
      <c r="H328" t="s">
        <v>41</v>
      </c>
      <c r="I328" t="s">
        <v>25</v>
      </c>
      <c r="J328" t="s">
        <v>35</v>
      </c>
      <c r="K328" t="s">
        <v>44</v>
      </c>
      <c r="L328">
        <v>1</v>
      </c>
      <c r="M328">
        <v>1219.7</v>
      </c>
      <c r="N328">
        <v>5</v>
      </c>
      <c r="U328" s="21"/>
      <c r="V328" s="21"/>
    </row>
    <row r="329" spans="1:22">
      <c r="A329">
        <v>10417</v>
      </c>
      <c r="B329">
        <v>1579</v>
      </c>
      <c r="C329" s="21">
        <v>45057</v>
      </c>
      <c r="D329" s="21">
        <v>45065</v>
      </c>
      <c r="E329" t="s">
        <v>21</v>
      </c>
      <c r="F329" t="s">
        <v>53</v>
      </c>
      <c r="G329" t="s">
        <v>16</v>
      </c>
      <c r="H329" t="s">
        <v>43</v>
      </c>
      <c r="I329" t="s">
        <v>51</v>
      </c>
      <c r="J329" t="s">
        <v>63</v>
      </c>
      <c r="K329" t="s">
        <v>44</v>
      </c>
      <c r="L329">
        <v>1</v>
      </c>
      <c r="M329">
        <v>3354.81</v>
      </c>
      <c r="N329">
        <v>0</v>
      </c>
      <c r="U329" s="21"/>
      <c r="V329" s="21"/>
    </row>
    <row r="330" spans="1:22">
      <c r="A330">
        <v>10418</v>
      </c>
      <c r="B330">
        <v>1800</v>
      </c>
      <c r="C330" s="21">
        <v>45279</v>
      </c>
      <c r="D330" s="21">
        <v>45280</v>
      </c>
      <c r="E330" t="s">
        <v>39</v>
      </c>
      <c r="F330" t="s">
        <v>53</v>
      </c>
      <c r="G330" t="s">
        <v>23</v>
      </c>
      <c r="H330" t="s">
        <v>34</v>
      </c>
      <c r="I330" t="s">
        <v>51</v>
      </c>
      <c r="J330" t="s">
        <v>55</v>
      </c>
      <c r="K330" t="s">
        <v>32</v>
      </c>
      <c r="L330">
        <v>8</v>
      </c>
      <c r="M330">
        <v>3905.57</v>
      </c>
      <c r="N330">
        <v>10</v>
      </c>
      <c r="U330" s="21"/>
      <c r="V330" s="21"/>
    </row>
    <row r="331" spans="1:22">
      <c r="A331">
        <v>10422</v>
      </c>
      <c r="B331">
        <v>1915</v>
      </c>
      <c r="C331" s="21">
        <v>45059</v>
      </c>
      <c r="D331" s="21">
        <v>45061</v>
      </c>
      <c r="E331" t="s">
        <v>15</v>
      </c>
      <c r="F331" t="s">
        <v>53</v>
      </c>
      <c r="G331" t="s">
        <v>16</v>
      </c>
      <c r="H331" t="s">
        <v>17</v>
      </c>
      <c r="I331" t="s">
        <v>51</v>
      </c>
      <c r="J331" t="s">
        <v>63</v>
      </c>
      <c r="K331" t="s">
        <v>46</v>
      </c>
      <c r="L331">
        <v>6</v>
      </c>
      <c r="M331">
        <v>1288.31</v>
      </c>
      <c r="N331">
        <v>15</v>
      </c>
      <c r="U331" s="21"/>
      <c r="V331" s="21"/>
    </row>
    <row r="332" spans="1:22">
      <c r="A332">
        <v>10423</v>
      </c>
      <c r="B332">
        <v>1503</v>
      </c>
      <c r="C332" s="21">
        <v>45153</v>
      </c>
      <c r="D332" s="21">
        <v>45155</v>
      </c>
      <c r="E332" t="s">
        <v>39</v>
      </c>
      <c r="F332" t="s">
        <v>15</v>
      </c>
      <c r="G332" t="s">
        <v>23</v>
      </c>
      <c r="H332" t="s">
        <v>43</v>
      </c>
      <c r="I332" t="s">
        <v>51</v>
      </c>
      <c r="J332" t="s">
        <v>59</v>
      </c>
      <c r="K332" t="s">
        <v>46</v>
      </c>
      <c r="L332">
        <v>9</v>
      </c>
      <c r="M332">
        <v>3740.3</v>
      </c>
      <c r="N332">
        <v>10</v>
      </c>
      <c r="U332" s="21"/>
      <c r="V332" s="21"/>
    </row>
    <row r="333" spans="1:22">
      <c r="A333">
        <v>10427</v>
      </c>
      <c r="B333">
        <v>1194</v>
      </c>
      <c r="C333" s="21">
        <v>45137</v>
      </c>
      <c r="D333" s="21">
        <v>45140</v>
      </c>
      <c r="E333" t="s">
        <v>39</v>
      </c>
      <c r="F333" t="s">
        <v>22</v>
      </c>
      <c r="G333" t="s">
        <v>23</v>
      </c>
      <c r="H333" t="s">
        <v>24</v>
      </c>
      <c r="I333" t="s">
        <v>18</v>
      </c>
      <c r="J333" t="s">
        <v>54</v>
      </c>
      <c r="K333" t="s">
        <v>27</v>
      </c>
      <c r="L333">
        <v>9</v>
      </c>
      <c r="M333">
        <v>2454.59</v>
      </c>
      <c r="N333">
        <v>5</v>
      </c>
      <c r="U333" s="21"/>
      <c r="V333" s="21"/>
    </row>
    <row r="334" spans="1:22">
      <c r="A334">
        <v>10431</v>
      </c>
      <c r="B334">
        <v>1687</v>
      </c>
      <c r="C334" s="21">
        <v>45139</v>
      </c>
      <c r="D334" s="21">
        <v>45146</v>
      </c>
      <c r="E334" t="s">
        <v>45</v>
      </c>
      <c r="F334" t="s">
        <v>37</v>
      </c>
      <c r="G334" t="s">
        <v>29</v>
      </c>
      <c r="H334" t="s">
        <v>34</v>
      </c>
      <c r="I334" t="s">
        <v>48</v>
      </c>
      <c r="J334" t="s">
        <v>50</v>
      </c>
      <c r="K334" t="s">
        <v>27</v>
      </c>
      <c r="L334">
        <v>6</v>
      </c>
      <c r="M334">
        <v>2247.37</v>
      </c>
      <c r="N334">
        <v>15</v>
      </c>
      <c r="U334" s="21"/>
      <c r="V334" s="21"/>
    </row>
    <row r="335" spans="1:22">
      <c r="A335">
        <v>10434</v>
      </c>
      <c r="B335">
        <v>1882</v>
      </c>
      <c r="C335" s="21">
        <v>45057</v>
      </c>
      <c r="D335" s="21">
        <v>45062</v>
      </c>
      <c r="E335" t="s">
        <v>45</v>
      </c>
      <c r="F335" t="s">
        <v>53</v>
      </c>
      <c r="G335" t="s">
        <v>23</v>
      </c>
      <c r="H335" t="s">
        <v>24</v>
      </c>
      <c r="I335" t="s">
        <v>18</v>
      </c>
      <c r="J335" t="s">
        <v>19</v>
      </c>
      <c r="K335" t="s">
        <v>44</v>
      </c>
      <c r="L335">
        <v>8</v>
      </c>
      <c r="M335">
        <v>437.36</v>
      </c>
      <c r="N335">
        <v>20</v>
      </c>
      <c r="U335" s="21"/>
      <c r="V335" s="21"/>
    </row>
    <row r="336" spans="1:22">
      <c r="A336">
        <v>10435</v>
      </c>
      <c r="B336">
        <v>1469</v>
      </c>
      <c r="C336" s="21">
        <v>45002</v>
      </c>
      <c r="D336" s="21">
        <v>45009</v>
      </c>
      <c r="E336" t="s">
        <v>14</v>
      </c>
      <c r="F336" t="s">
        <v>28</v>
      </c>
      <c r="G336" t="s">
        <v>23</v>
      </c>
      <c r="H336" t="s">
        <v>43</v>
      </c>
      <c r="I336" t="s">
        <v>51</v>
      </c>
      <c r="J336" t="s">
        <v>55</v>
      </c>
      <c r="K336" t="s">
        <v>20</v>
      </c>
      <c r="L336">
        <v>3</v>
      </c>
      <c r="M336">
        <v>3644.78</v>
      </c>
      <c r="N336">
        <v>0</v>
      </c>
      <c r="U336" s="21"/>
      <c r="V336" s="21"/>
    </row>
    <row r="337" spans="1:22">
      <c r="A337">
        <v>10436</v>
      </c>
      <c r="B337">
        <v>1374</v>
      </c>
      <c r="C337" s="21">
        <v>45212</v>
      </c>
      <c r="D337" s="21">
        <v>45213</v>
      </c>
      <c r="E337" t="s">
        <v>14</v>
      </c>
      <c r="F337" t="s">
        <v>22</v>
      </c>
      <c r="G337" t="s">
        <v>29</v>
      </c>
      <c r="H337" t="s">
        <v>17</v>
      </c>
      <c r="I337" t="s">
        <v>51</v>
      </c>
      <c r="J337" t="s">
        <v>59</v>
      </c>
      <c r="K337" t="s">
        <v>20</v>
      </c>
      <c r="L337">
        <v>3</v>
      </c>
      <c r="M337">
        <v>3986.78</v>
      </c>
      <c r="N337">
        <v>20</v>
      </c>
      <c r="U337" s="21"/>
      <c r="V337" s="21"/>
    </row>
    <row r="338" spans="1:22">
      <c r="A338">
        <v>10438</v>
      </c>
      <c r="B338">
        <v>1749</v>
      </c>
      <c r="C338" s="21">
        <v>45082</v>
      </c>
      <c r="D338" s="21">
        <v>45091</v>
      </c>
      <c r="E338" t="s">
        <v>45</v>
      </c>
      <c r="F338" t="s">
        <v>22</v>
      </c>
      <c r="G338" t="s">
        <v>29</v>
      </c>
      <c r="H338" t="s">
        <v>17</v>
      </c>
      <c r="I338" t="s">
        <v>25</v>
      </c>
      <c r="J338" t="s">
        <v>60</v>
      </c>
      <c r="K338" t="s">
        <v>46</v>
      </c>
      <c r="L338">
        <v>5</v>
      </c>
      <c r="M338">
        <v>3116.22</v>
      </c>
      <c r="N338">
        <v>10</v>
      </c>
      <c r="U338" s="21"/>
      <c r="V338" s="21"/>
    </row>
    <row r="339" spans="1:22">
      <c r="A339">
        <v>10439</v>
      </c>
      <c r="B339">
        <v>1669</v>
      </c>
      <c r="C339" s="21">
        <v>45174</v>
      </c>
      <c r="D339" s="21">
        <v>45179</v>
      </c>
      <c r="E339" t="s">
        <v>33</v>
      </c>
      <c r="F339" t="s">
        <v>28</v>
      </c>
      <c r="G339" t="s">
        <v>23</v>
      </c>
      <c r="H339" t="s">
        <v>34</v>
      </c>
      <c r="I339" t="s">
        <v>48</v>
      </c>
      <c r="J339" t="s">
        <v>50</v>
      </c>
      <c r="K339" t="s">
        <v>27</v>
      </c>
      <c r="L339">
        <v>3</v>
      </c>
      <c r="M339">
        <v>1448.62</v>
      </c>
      <c r="N339">
        <v>10</v>
      </c>
      <c r="U339" s="21"/>
      <c r="V339" s="21"/>
    </row>
    <row r="340" spans="1:22">
      <c r="A340">
        <v>10440</v>
      </c>
      <c r="B340">
        <v>1037</v>
      </c>
      <c r="C340" s="21">
        <v>45144</v>
      </c>
      <c r="D340" s="21">
        <v>45149</v>
      </c>
      <c r="E340" t="s">
        <v>36</v>
      </c>
      <c r="F340" t="s">
        <v>53</v>
      </c>
      <c r="G340" t="s">
        <v>16</v>
      </c>
      <c r="H340" t="s">
        <v>41</v>
      </c>
      <c r="I340" t="s">
        <v>48</v>
      </c>
      <c r="J340" t="s">
        <v>49</v>
      </c>
      <c r="K340" t="s">
        <v>32</v>
      </c>
      <c r="L340">
        <v>1</v>
      </c>
      <c r="M340">
        <v>3775.07</v>
      </c>
      <c r="N340">
        <v>10</v>
      </c>
      <c r="U340" s="21"/>
      <c r="V340" s="21"/>
    </row>
    <row r="341" spans="1:22">
      <c r="A341">
        <v>10441</v>
      </c>
      <c r="B341">
        <v>1229</v>
      </c>
      <c r="C341" s="21">
        <v>45116</v>
      </c>
      <c r="D341" s="21">
        <v>45119</v>
      </c>
      <c r="E341" t="s">
        <v>15</v>
      </c>
      <c r="F341" t="s">
        <v>22</v>
      </c>
      <c r="G341" t="s">
        <v>16</v>
      </c>
      <c r="H341" t="s">
        <v>41</v>
      </c>
      <c r="I341" t="s">
        <v>30</v>
      </c>
      <c r="J341" t="s">
        <v>64</v>
      </c>
      <c r="K341" t="s">
        <v>44</v>
      </c>
      <c r="L341">
        <v>3</v>
      </c>
      <c r="M341">
        <v>2189.4</v>
      </c>
      <c r="N341">
        <v>20</v>
      </c>
      <c r="U341" s="21"/>
      <c r="V341" s="21"/>
    </row>
    <row r="342" spans="1:22">
      <c r="A342">
        <v>10442</v>
      </c>
      <c r="B342">
        <v>1364</v>
      </c>
      <c r="C342" s="21">
        <v>45089</v>
      </c>
      <c r="D342" s="21">
        <v>45094</v>
      </c>
      <c r="E342" t="s">
        <v>14</v>
      </c>
      <c r="F342" t="s">
        <v>22</v>
      </c>
      <c r="G342" t="s">
        <v>23</v>
      </c>
      <c r="H342" t="s">
        <v>34</v>
      </c>
      <c r="I342" t="s">
        <v>56</v>
      </c>
      <c r="J342" t="s">
        <v>57</v>
      </c>
      <c r="K342" t="s">
        <v>44</v>
      </c>
      <c r="L342">
        <v>9</v>
      </c>
      <c r="M342">
        <v>2969.7</v>
      </c>
      <c r="N342">
        <v>10</v>
      </c>
      <c r="U342" s="21"/>
      <c r="V342" s="21"/>
    </row>
    <row r="343" spans="1:22">
      <c r="A343">
        <v>10444</v>
      </c>
      <c r="B343">
        <v>1437</v>
      </c>
      <c r="C343" s="21">
        <v>44960</v>
      </c>
      <c r="D343" s="21">
        <v>44969</v>
      </c>
      <c r="E343" t="s">
        <v>39</v>
      </c>
      <c r="F343" t="s">
        <v>37</v>
      </c>
      <c r="G343" t="s">
        <v>29</v>
      </c>
      <c r="H343" t="s">
        <v>17</v>
      </c>
      <c r="I343" t="s">
        <v>30</v>
      </c>
      <c r="J343" t="s">
        <v>31</v>
      </c>
      <c r="K343" t="s">
        <v>20</v>
      </c>
      <c r="L343">
        <v>2</v>
      </c>
      <c r="M343">
        <v>3904.44</v>
      </c>
      <c r="N343">
        <v>10</v>
      </c>
      <c r="U343" s="21"/>
      <c r="V343" s="21"/>
    </row>
    <row r="344" spans="1:22">
      <c r="A344">
        <v>10447</v>
      </c>
      <c r="B344">
        <v>1026</v>
      </c>
      <c r="C344" s="21">
        <v>45264</v>
      </c>
      <c r="D344" s="21">
        <v>45265</v>
      </c>
      <c r="E344" t="s">
        <v>33</v>
      </c>
      <c r="F344" t="s">
        <v>37</v>
      </c>
      <c r="G344" t="s">
        <v>16</v>
      </c>
      <c r="H344" t="s">
        <v>34</v>
      </c>
      <c r="I344" t="s">
        <v>25</v>
      </c>
      <c r="J344" t="s">
        <v>67</v>
      </c>
      <c r="K344" t="s">
        <v>27</v>
      </c>
      <c r="L344">
        <v>4</v>
      </c>
      <c r="M344">
        <v>3871.21</v>
      </c>
      <c r="N344">
        <v>10</v>
      </c>
      <c r="U344" s="21"/>
      <c r="V344" s="21"/>
    </row>
    <row r="345" spans="1:22">
      <c r="A345">
        <v>10448</v>
      </c>
      <c r="B345">
        <v>1225</v>
      </c>
      <c r="C345" s="21">
        <v>45240</v>
      </c>
      <c r="D345" s="21">
        <v>45247</v>
      </c>
      <c r="E345" t="s">
        <v>39</v>
      </c>
      <c r="F345" t="s">
        <v>37</v>
      </c>
      <c r="G345" t="s">
        <v>29</v>
      </c>
      <c r="H345" t="s">
        <v>17</v>
      </c>
      <c r="I345" t="s">
        <v>18</v>
      </c>
      <c r="J345" t="s">
        <v>19</v>
      </c>
      <c r="K345" t="s">
        <v>32</v>
      </c>
      <c r="L345">
        <v>7</v>
      </c>
      <c r="M345">
        <v>2568.2600000000002</v>
      </c>
      <c r="N345">
        <v>10</v>
      </c>
      <c r="U345" s="21"/>
      <c r="V345" s="21"/>
    </row>
    <row r="346" spans="1:22">
      <c r="A346">
        <v>10452</v>
      </c>
      <c r="B346">
        <v>1283</v>
      </c>
      <c r="C346" s="21">
        <v>45076</v>
      </c>
      <c r="D346" s="21">
        <v>45082</v>
      </c>
      <c r="E346" t="s">
        <v>45</v>
      </c>
      <c r="F346" t="s">
        <v>22</v>
      </c>
      <c r="G346" t="s">
        <v>23</v>
      </c>
      <c r="H346" t="s">
        <v>41</v>
      </c>
      <c r="I346" t="s">
        <v>48</v>
      </c>
      <c r="J346" t="s">
        <v>66</v>
      </c>
      <c r="K346" t="s">
        <v>27</v>
      </c>
      <c r="L346">
        <v>1</v>
      </c>
      <c r="M346">
        <v>1574.59</v>
      </c>
      <c r="N346">
        <v>5</v>
      </c>
      <c r="U346" s="21"/>
      <c r="V346" s="21"/>
    </row>
    <row r="347" spans="1:22">
      <c r="A347">
        <v>10454</v>
      </c>
      <c r="B347">
        <v>1959</v>
      </c>
      <c r="C347" s="21">
        <v>45251</v>
      </c>
      <c r="D347" s="21">
        <v>45255</v>
      </c>
      <c r="E347" t="s">
        <v>33</v>
      </c>
      <c r="F347" t="s">
        <v>40</v>
      </c>
      <c r="G347" t="s">
        <v>16</v>
      </c>
      <c r="H347" t="s">
        <v>24</v>
      </c>
      <c r="I347" t="s">
        <v>56</v>
      </c>
      <c r="J347" t="s">
        <v>57</v>
      </c>
      <c r="K347" t="s">
        <v>27</v>
      </c>
      <c r="L347">
        <v>9</v>
      </c>
      <c r="M347">
        <v>3191.56</v>
      </c>
      <c r="N347">
        <v>20</v>
      </c>
      <c r="U347" s="21"/>
      <c r="V347" s="21"/>
    </row>
    <row r="348" spans="1:22">
      <c r="A348">
        <v>10455</v>
      </c>
      <c r="B348">
        <v>1480</v>
      </c>
      <c r="C348" s="21">
        <v>45034</v>
      </c>
      <c r="D348" s="21">
        <v>45036</v>
      </c>
      <c r="E348" t="s">
        <v>14</v>
      </c>
      <c r="F348" t="s">
        <v>28</v>
      </c>
      <c r="G348" t="s">
        <v>16</v>
      </c>
      <c r="H348" t="s">
        <v>17</v>
      </c>
      <c r="I348" t="s">
        <v>51</v>
      </c>
      <c r="J348" t="s">
        <v>63</v>
      </c>
      <c r="K348" t="s">
        <v>44</v>
      </c>
      <c r="L348">
        <v>2</v>
      </c>
      <c r="M348">
        <v>1374.23</v>
      </c>
      <c r="N348">
        <v>0</v>
      </c>
      <c r="U348" s="21"/>
      <c r="V348" s="21"/>
    </row>
    <row r="349" spans="1:22">
      <c r="A349">
        <v>10457</v>
      </c>
      <c r="B349">
        <v>1828</v>
      </c>
      <c r="C349" s="21">
        <v>45276</v>
      </c>
      <c r="D349" s="21">
        <v>45280</v>
      </c>
      <c r="E349" t="s">
        <v>45</v>
      </c>
      <c r="F349" t="s">
        <v>28</v>
      </c>
      <c r="G349" t="s">
        <v>23</v>
      </c>
      <c r="H349" t="s">
        <v>43</v>
      </c>
      <c r="I349" t="s">
        <v>25</v>
      </c>
      <c r="J349" t="s">
        <v>26</v>
      </c>
      <c r="K349" t="s">
        <v>27</v>
      </c>
      <c r="L349">
        <v>5</v>
      </c>
      <c r="M349">
        <v>1480.66</v>
      </c>
      <c r="N349">
        <v>0</v>
      </c>
      <c r="U349" s="21"/>
      <c r="V349" s="21"/>
    </row>
    <row r="350" spans="1:22">
      <c r="A350">
        <v>10460</v>
      </c>
      <c r="B350">
        <v>1515</v>
      </c>
      <c r="C350" s="21">
        <v>45215</v>
      </c>
      <c r="D350" s="21">
        <v>45221</v>
      </c>
      <c r="E350" t="s">
        <v>21</v>
      </c>
      <c r="F350" t="s">
        <v>28</v>
      </c>
      <c r="G350" t="s">
        <v>23</v>
      </c>
      <c r="H350" t="s">
        <v>24</v>
      </c>
      <c r="I350" t="s">
        <v>48</v>
      </c>
      <c r="J350" t="s">
        <v>49</v>
      </c>
      <c r="K350" t="s">
        <v>20</v>
      </c>
      <c r="L350">
        <v>1</v>
      </c>
      <c r="M350">
        <v>445.38</v>
      </c>
      <c r="N350">
        <v>10</v>
      </c>
      <c r="U350" s="21"/>
      <c r="V350" s="21"/>
    </row>
    <row r="351" spans="1:22">
      <c r="A351">
        <v>10463</v>
      </c>
      <c r="B351">
        <v>1048</v>
      </c>
      <c r="C351" s="21">
        <v>44992</v>
      </c>
      <c r="D351" s="21">
        <v>45000</v>
      </c>
      <c r="E351" t="s">
        <v>21</v>
      </c>
      <c r="F351" t="s">
        <v>15</v>
      </c>
      <c r="G351" t="s">
        <v>23</v>
      </c>
      <c r="H351" t="s">
        <v>34</v>
      </c>
      <c r="I351" t="s">
        <v>25</v>
      </c>
      <c r="J351" t="s">
        <v>35</v>
      </c>
      <c r="K351" t="s">
        <v>46</v>
      </c>
      <c r="L351">
        <v>5</v>
      </c>
      <c r="M351">
        <v>2072.3200000000002</v>
      </c>
      <c r="N351">
        <v>15</v>
      </c>
      <c r="U351" s="21"/>
      <c r="V351" s="21"/>
    </row>
    <row r="352" spans="1:22">
      <c r="A352">
        <v>10464</v>
      </c>
      <c r="B352">
        <v>1511</v>
      </c>
      <c r="C352" s="21">
        <v>45174</v>
      </c>
      <c r="D352" s="21">
        <v>45176</v>
      </c>
      <c r="E352" t="s">
        <v>45</v>
      </c>
      <c r="F352" t="s">
        <v>22</v>
      </c>
      <c r="G352" t="s">
        <v>29</v>
      </c>
      <c r="H352" t="s">
        <v>41</v>
      </c>
      <c r="I352" t="s">
        <v>30</v>
      </c>
      <c r="J352" t="s">
        <v>64</v>
      </c>
      <c r="K352" t="s">
        <v>46</v>
      </c>
      <c r="L352">
        <v>1</v>
      </c>
      <c r="M352">
        <v>559.4</v>
      </c>
      <c r="N352">
        <v>20</v>
      </c>
      <c r="U352" s="21"/>
      <c r="V352" s="21"/>
    </row>
    <row r="353" spans="1:22">
      <c r="A353">
        <v>10465</v>
      </c>
      <c r="B353">
        <v>1016</v>
      </c>
      <c r="C353" s="21">
        <v>45082</v>
      </c>
      <c r="D353" s="21">
        <v>45089</v>
      </c>
      <c r="E353" t="s">
        <v>36</v>
      </c>
      <c r="F353" t="s">
        <v>22</v>
      </c>
      <c r="G353" t="s">
        <v>29</v>
      </c>
      <c r="H353" t="s">
        <v>43</v>
      </c>
      <c r="I353" t="s">
        <v>18</v>
      </c>
      <c r="J353" t="s">
        <v>42</v>
      </c>
      <c r="K353" t="s">
        <v>32</v>
      </c>
      <c r="L353">
        <v>4</v>
      </c>
      <c r="M353">
        <v>589.44000000000005</v>
      </c>
      <c r="N353">
        <v>20</v>
      </c>
      <c r="U353" s="21"/>
      <c r="V353" s="21"/>
    </row>
    <row r="354" spans="1:22">
      <c r="A354">
        <v>10466</v>
      </c>
      <c r="B354">
        <v>1171</v>
      </c>
      <c r="C354" s="21">
        <v>44973</v>
      </c>
      <c r="D354" s="21">
        <v>44975</v>
      </c>
      <c r="E354" t="s">
        <v>15</v>
      </c>
      <c r="F354" t="s">
        <v>40</v>
      </c>
      <c r="G354" t="s">
        <v>29</v>
      </c>
      <c r="H354" t="s">
        <v>34</v>
      </c>
      <c r="I354" t="s">
        <v>18</v>
      </c>
      <c r="J354" t="s">
        <v>42</v>
      </c>
      <c r="K354" t="s">
        <v>27</v>
      </c>
      <c r="L354">
        <v>6</v>
      </c>
      <c r="M354">
        <v>3773.04</v>
      </c>
      <c r="N354">
        <v>0</v>
      </c>
      <c r="U354" s="21"/>
      <c r="V354" s="21"/>
    </row>
    <row r="355" spans="1:22">
      <c r="A355">
        <v>10468</v>
      </c>
      <c r="B355">
        <v>1157</v>
      </c>
      <c r="C355" s="21">
        <v>45074</v>
      </c>
      <c r="D355" s="21">
        <v>45082</v>
      </c>
      <c r="E355" t="s">
        <v>21</v>
      </c>
      <c r="F355" t="s">
        <v>15</v>
      </c>
      <c r="G355" t="s">
        <v>16</v>
      </c>
      <c r="H355" t="s">
        <v>17</v>
      </c>
      <c r="I355" t="s">
        <v>56</v>
      </c>
      <c r="J355" t="s">
        <v>58</v>
      </c>
      <c r="K355" t="s">
        <v>44</v>
      </c>
      <c r="L355">
        <v>9</v>
      </c>
      <c r="M355">
        <v>1890.53</v>
      </c>
      <c r="N355">
        <v>15</v>
      </c>
      <c r="U355" s="21"/>
      <c r="V355" s="21"/>
    </row>
    <row r="356" spans="1:22">
      <c r="A356">
        <v>10470</v>
      </c>
      <c r="B356">
        <v>1045</v>
      </c>
      <c r="C356" s="21">
        <v>44927</v>
      </c>
      <c r="D356" s="21">
        <v>44936</v>
      </c>
      <c r="E356" t="s">
        <v>33</v>
      </c>
      <c r="F356" t="s">
        <v>28</v>
      </c>
      <c r="G356" t="s">
        <v>29</v>
      </c>
      <c r="H356" t="s">
        <v>17</v>
      </c>
      <c r="I356" t="s">
        <v>25</v>
      </c>
      <c r="J356" t="s">
        <v>35</v>
      </c>
      <c r="K356" t="s">
        <v>27</v>
      </c>
      <c r="L356">
        <v>8</v>
      </c>
      <c r="M356">
        <v>150.72</v>
      </c>
      <c r="N356">
        <v>5</v>
      </c>
      <c r="U356" s="21"/>
      <c r="V356" s="21"/>
    </row>
    <row r="357" spans="1:22">
      <c r="A357">
        <v>10472</v>
      </c>
      <c r="B357">
        <v>1517</v>
      </c>
      <c r="C357" s="21">
        <v>45269</v>
      </c>
      <c r="D357" s="21">
        <v>45278</v>
      </c>
      <c r="E357" t="s">
        <v>14</v>
      </c>
      <c r="F357" t="s">
        <v>53</v>
      </c>
      <c r="G357" t="s">
        <v>29</v>
      </c>
      <c r="H357" t="s">
        <v>34</v>
      </c>
      <c r="I357" t="s">
        <v>30</v>
      </c>
      <c r="J357" t="s">
        <v>47</v>
      </c>
      <c r="K357" t="s">
        <v>27</v>
      </c>
      <c r="L357">
        <v>5</v>
      </c>
      <c r="M357">
        <v>2523.25</v>
      </c>
      <c r="N357">
        <v>10</v>
      </c>
      <c r="U357" s="21"/>
      <c r="V357" s="21"/>
    </row>
    <row r="358" spans="1:22">
      <c r="A358">
        <v>10480</v>
      </c>
      <c r="B358">
        <v>1301</v>
      </c>
      <c r="C358" s="21">
        <v>45117</v>
      </c>
      <c r="D358" s="21">
        <v>45119</v>
      </c>
      <c r="E358" t="s">
        <v>15</v>
      </c>
      <c r="F358" t="s">
        <v>28</v>
      </c>
      <c r="G358" t="s">
        <v>16</v>
      </c>
      <c r="H358" t="s">
        <v>43</v>
      </c>
      <c r="I358" t="s">
        <v>25</v>
      </c>
      <c r="J358" t="s">
        <v>35</v>
      </c>
      <c r="K358" t="s">
        <v>46</v>
      </c>
      <c r="L358">
        <v>6</v>
      </c>
      <c r="M358">
        <v>845</v>
      </c>
      <c r="N358">
        <v>15</v>
      </c>
      <c r="U358" s="21"/>
      <c r="V358" s="21"/>
    </row>
    <row r="359" spans="1:22">
      <c r="A359">
        <v>10481</v>
      </c>
      <c r="B359">
        <v>1180</v>
      </c>
      <c r="C359" s="21">
        <v>44947</v>
      </c>
      <c r="D359" s="21">
        <v>44955</v>
      </c>
      <c r="E359" t="s">
        <v>33</v>
      </c>
      <c r="F359" t="s">
        <v>40</v>
      </c>
      <c r="G359" t="s">
        <v>16</v>
      </c>
      <c r="H359" t="s">
        <v>43</v>
      </c>
      <c r="I359" t="s">
        <v>48</v>
      </c>
      <c r="J359" t="s">
        <v>49</v>
      </c>
      <c r="K359" t="s">
        <v>46</v>
      </c>
      <c r="L359">
        <v>8</v>
      </c>
      <c r="M359">
        <v>1160.51</v>
      </c>
      <c r="N359">
        <v>0</v>
      </c>
      <c r="U359" s="21"/>
      <c r="V359" s="21"/>
    </row>
    <row r="360" spans="1:22">
      <c r="A360">
        <v>10482</v>
      </c>
      <c r="B360">
        <v>1606</v>
      </c>
      <c r="C360" s="21">
        <v>45153</v>
      </c>
      <c r="D360" s="21">
        <v>45162</v>
      </c>
      <c r="E360" t="s">
        <v>33</v>
      </c>
      <c r="F360" t="s">
        <v>53</v>
      </c>
      <c r="G360" t="s">
        <v>23</v>
      </c>
      <c r="H360" t="s">
        <v>24</v>
      </c>
      <c r="I360" t="s">
        <v>56</v>
      </c>
      <c r="J360" t="s">
        <v>65</v>
      </c>
      <c r="K360" t="s">
        <v>32</v>
      </c>
      <c r="L360">
        <v>7</v>
      </c>
      <c r="M360">
        <v>2172.2399999999998</v>
      </c>
      <c r="N360">
        <v>20</v>
      </c>
      <c r="U360" s="21"/>
      <c r="V360" s="21"/>
    </row>
    <row r="361" spans="1:22">
      <c r="A361">
        <v>10485</v>
      </c>
      <c r="B361">
        <v>1992</v>
      </c>
      <c r="C361" s="21">
        <v>45228</v>
      </c>
      <c r="D361" s="21">
        <v>45237</v>
      </c>
      <c r="E361" t="s">
        <v>15</v>
      </c>
      <c r="F361" t="s">
        <v>15</v>
      </c>
      <c r="G361" t="s">
        <v>16</v>
      </c>
      <c r="H361" t="s">
        <v>41</v>
      </c>
      <c r="I361" t="s">
        <v>18</v>
      </c>
      <c r="J361" t="s">
        <v>42</v>
      </c>
      <c r="K361" t="s">
        <v>44</v>
      </c>
      <c r="L361">
        <v>2</v>
      </c>
      <c r="M361">
        <v>1294.8399999999999</v>
      </c>
      <c r="N361">
        <v>15</v>
      </c>
      <c r="U361" s="21"/>
      <c r="V361" s="21"/>
    </row>
    <row r="362" spans="1:22">
      <c r="A362">
        <v>10486</v>
      </c>
      <c r="B362">
        <v>1115</v>
      </c>
      <c r="C362" s="21">
        <v>45068</v>
      </c>
      <c r="D362" s="21">
        <v>45077</v>
      </c>
      <c r="E362" t="s">
        <v>15</v>
      </c>
      <c r="F362" t="s">
        <v>40</v>
      </c>
      <c r="G362" t="s">
        <v>23</v>
      </c>
      <c r="H362" t="s">
        <v>41</v>
      </c>
      <c r="I362" t="s">
        <v>48</v>
      </c>
      <c r="J362" t="s">
        <v>62</v>
      </c>
      <c r="K362" t="s">
        <v>32</v>
      </c>
      <c r="L362">
        <v>9</v>
      </c>
      <c r="M362">
        <v>775.77</v>
      </c>
      <c r="N362">
        <v>0</v>
      </c>
      <c r="U362" s="21"/>
      <c r="V362" s="21"/>
    </row>
    <row r="363" spans="1:22">
      <c r="A363">
        <v>10487</v>
      </c>
      <c r="B363">
        <v>1190</v>
      </c>
      <c r="C363" s="21">
        <v>44965</v>
      </c>
      <c r="D363" s="21">
        <v>44966</v>
      </c>
      <c r="E363" t="s">
        <v>39</v>
      </c>
      <c r="F363" t="s">
        <v>15</v>
      </c>
      <c r="G363" t="s">
        <v>29</v>
      </c>
      <c r="H363" t="s">
        <v>24</v>
      </c>
      <c r="I363" t="s">
        <v>51</v>
      </c>
      <c r="J363" t="s">
        <v>52</v>
      </c>
      <c r="K363" t="s">
        <v>20</v>
      </c>
      <c r="L363">
        <v>4</v>
      </c>
      <c r="M363">
        <v>2751.14</v>
      </c>
      <c r="N363">
        <v>20</v>
      </c>
      <c r="U363" s="21"/>
      <c r="V363" s="21"/>
    </row>
    <row r="364" spans="1:22">
      <c r="A364">
        <v>10489</v>
      </c>
      <c r="B364">
        <v>1980</v>
      </c>
      <c r="C364" s="21">
        <v>45178</v>
      </c>
      <c r="D364" s="21">
        <v>45187</v>
      </c>
      <c r="E364" t="s">
        <v>33</v>
      </c>
      <c r="F364" t="s">
        <v>22</v>
      </c>
      <c r="G364" t="s">
        <v>23</v>
      </c>
      <c r="H364" t="s">
        <v>17</v>
      </c>
      <c r="I364" t="s">
        <v>56</v>
      </c>
      <c r="J364" t="s">
        <v>61</v>
      </c>
      <c r="K364" t="s">
        <v>32</v>
      </c>
      <c r="L364">
        <v>8</v>
      </c>
      <c r="M364">
        <v>2536.88</v>
      </c>
      <c r="N364">
        <v>5</v>
      </c>
      <c r="U364" s="21"/>
      <c r="V364" s="21"/>
    </row>
    <row r="365" spans="1:22">
      <c r="A365">
        <v>10490</v>
      </c>
      <c r="B365">
        <v>1927</v>
      </c>
      <c r="C365" s="21">
        <v>45259</v>
      </c>
      <c r="D365" s="21">
        <v>45261</v>
      </c>
      <c r="E365" t="s">
        <v>14</v>
      </c>
      <c r="F365" t="s">
        <v>28</v>
      </c>
      <c r="G365" t="s">
        <v>16</v>
      </c>
      <c r="H365" t="s">
        <v>34</v>
      </c>
      <c r="I365" t="s">
        <v>30</v>
      </c>
      <c r="J365" t="s">
        <v>31</v>
      </c>
      <c r="K365" t="s">
        <v>44</v>
      </c>
      <c r="L365">
        <v>7</v>
      </c>
      <c r="M365">
        <v>2838.06</v>
      </c>
      <c r="N365">
        <v>20</v>
      </c>
      <c r="U365" s="21"/>
      <c r="V365" s="21"/>
    </row>
    <row r="366" spans="1:22">
      <c r="A366">
        <v>10491</v>
      </c>
      <c r="B366">
        <v>1982</v>
      </c>
      <c r="C366" s="21">
        <v>45133</v>
      </c>
      <c r="D366" s="21">
        <v>45137</v>
      </c>
      <c r="E366" t="s">
        <v>15</v>
      </c>
      <c r="F366" t="s">
        <v>28</v>
      </c>
      <c r="G366" t="s">
        <v>16</v>
      </c>
      <c r="H366" t="s">
        <v>43</v>
      </c>
      <c r="I366" t="s">
        <v>48</v>
      </c>
      <c r="J366" t="s">
        <v>62</v>
      </c>
      <c r="K366" t="s">
        <v>27</v>
      </c>
      <c r="L366">
        <v>5</v>
      </c>
      <c r="M366">
        <v>977.43</v>
      </c>
      <c r="N366">
        <v>20</v>
      </c>
      <c r="U366" s="21"/>
      <c r="V366" s="21"/>
    </row>
    <row r="367" spans="1:22">
      <c r="A367">
        <v>10493</v>
      </c>
      <c r="B367">
        <v>1255</v>
      </c>
      <c r="C367" s="21">
        <v>45041</v>
      </c>
      <c r="D367" s="21">
        <v>45043</v>
      </c>
      <c r="E367" t="s">
        <v>39</v>
      </c>
      <c r="F367" t="s">
        <v>15</v>
      </c>
      <c r="G367" t="s">
        <v>23</v>
      </c>
      <c r="H367" t="s">
        <v>43</v>
      </c>
      <c r="I367" t="s">
        <v>48</v>
      </c>
      <c r="J367" t="s">
        <v>66</v>
      </c>
      <c r="K367" t="s">
        <v>27</v>
      </c>
      <c r="L367">
        <v>7</v>
      </c>
      <c r="M367">
        <v>1550.03</v>
      </c>
      <c r="N367">
        <v>10</v>
      </c>
      <c r="U367" s="21"/>
      <c r="V367" s="21"/>
    </row>
    <row r="368" spans="1:22">
      <c r="A368">
        <v>10494</v>
      </c>
      <c r="B368">
        <v>1322</v>
      </c>
      <c r="C368" s="21">
        <v>45151</v>
      </c>
      <c r="D368" s="21">
        <v>45154</v>
      </c>
      <c r="E368" t="s">
        <v>36</v>
      </c>
      <c r="F368" t="s">
        <v>40</v>
      </c>
      <c r="G368" t="s">
        <v>16</v>
      </c>
      <c r="H368" t="s">
        <v>43</v>
      </c>
      <c r="I368" t="s">
        <v>56</v>
      </c>
      <c r="J368" t="s">
        <v>65</v>
      </c>
      <c r="K368" t="s">
        <v>44</v>
      </c>
      <c r="L368">
        <v>5</v>
      </c>
      <c r="M368">
        <v>529.59</v>
      </c>
      <c r="N368">
        <v>5</v>
      </c>
      <c r="U368" s="21"/>
      <c r="V368" s="21"/>
    </row>
    <row r="369" spans="1:22">
      <c r="A369">
        <v>10495</v>
      </c>
      <c r="B369">
        <v>1127</v>
      </c>
      <c r="C369" s="21">
        <v>45060</v>
      </c>
      <c r="D369" s="21">
        <v>45063</v>
      </c>
      <c r="E369" t="s">
        <v>14</v>
      </c>
      <c r="F369" t="s">
        <v>22</v>
      </c>
      <c r="G369" t="s">
        <v>29</v>
      </c>
      <c r="H369" t="s">
        <v>24</v>
      </c>
      <c r="I369" t="s">
        <v>56</v>
      </c>
      <c r="J369" t="s">
        <v>58</v>
      </c>
      <c r="K369" t="s">
        <v>44</v>
      </c>
      <c r="L369">
        <v>8</v>
      </c>
      <c r="M369">
        <v>598.44000000000005</v>
      </c>
      <c r="N369">
        <v>0</v>
      </c>
      <c r="U369" s="21"/>
      <c r="V369" s="21"/>
    </row>
    <row r="370" spans="1:22">
      <c r="A370">
        <v>10496</v>
      </c>
      <c r="B370">
        <v>1017</v>
      </c>
      <c r="C370" s="21">
        <v>45177</v>
      </c>
      <c r="D370" s="21">
        <v>45178</v>
      </c>
      <c r="E370" t="s">
        <v>14</v>
      </c>
      <c r="F370" t="s">
        <v>22</v>
      </c>
      <c r="G370" t="s">
        <v>16</v>
      </c>
      <c r="H370" t="s">
        <v>41</v>
      </c>
      <c r="I370" t="s">
        <v>51</v>
      </c>
      <c r="J370" t="s">
        <v>59</v>
      </c>
      <c r="K370" t="s">
        <v>44</v>
      </c>
      <c r="L370">
        <v>6</v>
      </c>
      <c r="M370">
        <v>1128.9100000000001</v>
      </c>
      <c r="N370">
        <v>20</v>
      </c>
      <c r="U370" s="21"/>
      <c r="V370" s="21"/>
    </row>
    <row r="371" spans="1:22">
      <c r="A371">
        <v>10497</v>
      </c>
      <c r="B371">
        <v>1792</v>
      </c>
      <c r="C371" s="21">
        <v>45145</v>
      </c>
      <c r="D371" s="21">
        <v>45151</v>
      </c>
      <c r="E371" t="s">
        <v>15</v>
      </c>
      <c r="F371" t="s">
        <v>28</v>
      </c>
      <c r="G371" t="s">
        <v>23</v>
      </c>
      <c r="H371" t="s">
        <v>41</v>
      </c>
      <c r="I371" t="s">
        <v>30</v>
      </c>
      <c r="J371" t="s">
        <v>38</v>
      </c>
      <c r="K371" t="s">
        <v>20</v>
      </c>
      <c r="L371">
        <v>5</v>
      </c>
      <c r="M371">
        <v>1287.55</v>
      </c>
      <c r="N371">
        <v>0</v>
      </c>
      <c r="U371" s="21"/>
      <c r="V371" s="21"/>
    </row>
    <row r="372" spans="1:22">
      <c r="A372">
        <v>10498</v>
      </c>
      <c r="B372">
        <v>1734</v>
      </c>
      <c r="C372" s="21">
        <v>45017</v>
      </c>
      <c r="D372" s="21">
        <v>45025</v>
      </c>
      <c r="E372" t="s">
        <v>45</v>
      </c>
      <c r="F372" t="s">
        <v>15</v>
      </c>
      <c r="G372" t="s">
        <v>29</v>
      </c>
      <c r="H372" t="s">
        <v>17</v>
      </c>
      <c r="I372" t="s">
        <v>25</v>
      </c>
      <c r="J372" t="s">
        <v>35</v>
      </c>
      <c r="K372" t="s">
        <v>27</v>
      </c>
      <c r="L372">
        <v>9</v>
      </c>
      <c r="M372">
        <v>2190.39</v>
      </c>
      <c r="N372">
        <v>20</v>
      </c>
      <c r="U372" s="21"/>
      <c r="V372" s="21"/>
    </row>
    <row r="373" spans="1:22">
      <c r="A373">
        <v>10500</v>
      </c>
      <c r="B373">
        <v>1569</v>
      </c>
      <c r="C373" s="21">
        <v>44972</v>
      </c>
      <c r="D373" s="21">
        <v>44977</v>
      </c>
      <c r="E373" t="s">
        <v>14</v>
      </c>
      <c r="F373" t="s">
        <v>15</v>
      </c>
      <c r="G373" t="s">
        <v>29</v>
      </c>
      <c r="H373" t="s">
        <v>41</v>
      </c>
      <c r="I373" t="s">
        <v>30</v>
      </c>
      <c r="J373" t="s">
        <v>64</v>
      </c>
      <c r="K373" t="s">
        <v>32</v>
      </c>
      <c r="L373">
        <v>1</v>
      </c>
      <c r="M373">
        <v>2432.17</v>
      </c>
      <c r="N373">
        <v>20</v>
      </c>
      <c r="U373" s="21"/>
      <c r="V373" s="21"/>
    </row>
    <row r="374" spans="1:22">
      <c r="U374" s="21"/>
      <c r="V374" s="21"/>
    </row>
    <row r="375" spans="1:22">
      <c r="U375" s="21"/>
      <c r="V375" s="21"/>
    </row>
    <row r="376" spans="1:22">
      <c r="U376" s="21"/>
      <c r="V376" s="21"/>
    </row>
    <row r="377" spans="1:22">
      <c r="U377" s="21"/>
      <c r="V377" s="2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E9423-A84F-4B41-8AE8-40F30AEC79E5}">
  <dimension ref="A1:I11"/>
  <sheetViews>
    <sheetView workbookViewId="0">
      <pane ySplit="1" topLeftCell="A2" activePane="bottomLeft" state="frozen"/>
      <selection pane="bottomLeft" activeCell="I2" sqref="I2"/>
    </sheetView>
  </sheetViews>
  <sheetFormatPr defaultRowHeight="14.4"/>
  <cols>
    <col min="1" max="1" width="9.88671875" bestFit="1" customWidth="1"/>
    <col min="2" max="2" width="6" bestFit="1" customWidth="1"/>
    <col min="3" max="3" width="6.21875" bestFit="1" customWidth="1"/>
    <col min="4" max="4" width="12.21875" bestFit="1" customWidth="1"/>
    <col min="5" max="5" width="12.109375" bestFit="1" customWidth="1"/>
    <col min="6" max="6" width="17.6640625" bestFit="1" customWidth="1"/>
    <col min="7" max="7" width="9.5546875" bestFit="1" customWidth="1"/>
    <col min="8" max="8" width="6" bestFit="1" customWidth="1"/>
    <col min="9" max="9" width="18.109375" bestFit="1" customWidth="1"/>
  </cols>
  <sheetData>
    <row r="1" spans="1:9" s="4" customFormat="1">
      <c r="A1" s="4" t="s">
        <v>79</v>
      </c>
      <c r="B1" s="4" t="s">
        <v>80</v>
      </c>
      <c r="C1" s="4" t="s">
        <v>81</v>
      </c>
      <c r="D1" s="4" t="s">
        <v>82</v>
      </c>
      <c r="E1" s="4" t="s">
        <v>83</v>
      </c>
      <c r="F1" s="4" t="s">
        <v>84</v>
      </c>
      <c r="G1" s="4" t="s">
        <v>107</v>
      </c>
      <c r="H1" s="4" t="s">
        <v>108</v>
      </c>
      <c r="I1" s="4" t="s">
        <v>109</v>
      </c>
    </row>
    <row r="2" spans="1:9">
      <c r="A2" s="5" t="s">
        <v>85</v>
      </c>
      <c r="B2" s="5" t="s">
        <v>95</v>
      </c>
      <c r="C2">
        <v>92</v>
      </c>
      <c r="D2">
        <v>95</v>
      </c>
      <c r="E2">
        <v>88</v>
      </c>
      <c r="F2" s="5" t="s">
        <v>105</v>
      </c>
      <c r="G2" t="str">
        <f>IF(C2&gt;=50, "Pass", "Fail")</f>
        <v>Pass</v>
      </c>
      <c r="H2" t="str">
        <f>_xlfn.IFS(C2&gt;=90, "A+", C2&gt;=75, "A", C2&gt;=50, "B", C2&lt;50, "Fail")</f>
        <v>A+</v>
      </c>
    </row>
    <row r="3" spans="1:9">
      <c r="A3" s="5" t="s">
        <v>86</v>
      </c>
      <c r="B3" s="5" t="s">
        <v>96</v>
      </c>
      <c r="C3">
        <v>76</v>
      </c>
      <c r="D3">
        <v>82</v>
      </c>
      <c r="E3">
        <v>70</v>
      </c>
      <c r="F3" s="5" t="s">
        <v>106</v>
      </c>
      <c r="G3" t="str">
        <f t="shared" ref="G3:G11" si="0">IF(C3&gt;=50, "Pass", "Fail")</f>
        <v>Pass</v>
      </c>
      <c r="H3" t="str">
        <f t="shared" ref="H3:H11" si="1">_xlfn.IFS(C3&gt;=90, "A+", C3&gt;=75, "A", C3&gt;=50, "B", C3&lt;50, "Fail")</f>
        <v>A</v>
      </c>
    </row>
    <row r="4" spans="1:9">
      <c r="A4" s="5" t="s">
        <v>87</v>
      </c>
      <c r="B4" s="5" t="s">
        <v>97</v>
      </c>
      <c r="C4">
        <v>45</v>
      </c>
      <c r="D4">
        <v>68</v>
      </c>
      <c r="E4">
        <v>55</v>
      </c>
      <c r="F4" s="5" t="s">
        <v>105</v>
      </c>
      <c r="G4" t="str">
        <f t="shared" si="0"/>
        <v>Fail</v>
      </c>
      <c r="H4" t="str">
        <f t="shared" si="1"/>
        <v>Fail</v>
      </c>
    </row>
    <row r="5" spans="1:9">
      <c r="A5" s="5" t="s">
        <v>88</v>
      </c>
      <c r="B5" s="5" t="s">
        <v>98</v>
      </c>
      <c r="C5">
        <v>59</v>
      </c>
      <c r="D5">
        <v>74</v>
      </c>
      <c r="E5">
        <v>61</v>
      </c>
      <c r="F5" s="5" t="s">
        <v>106</v>
      </c>
      <c r="G5" t="str">
        <f t="shared" si="0"/>
        <v>Pass</v>
      </c>
      <c r="H5" t="str">
        <f t="shared" si="1"/>
        <v>B</v>
      </c>
    </row>
    <row r="6" spans="1:9">
      <c r="A6" s="5" t="s">
        <v>89</v>
      </c>
      <c r="B6" s="5" t="s">
        <v>99</v>
      </c>
      <c r="C6">
        <v>81</v>
      </c>
      <c r="D6">
        <v>91</v>
      </c>
      <c r="E6">
        <v>79</v>
      </c>
      <c r="F6" s="5" t="s">
        <v>105</v>
      </c>
      <c r="G6" t="str">
        <f t="shared" si="0"/>
        <v>Pass</v>
      </c>
      <c r="H6" t="str">
        <f t="shared" si="1"/>
        <v>A</v>
      </c>
    </row>
    <row r="7" spans="1:9">
      <c r="A7" s="5" t="s">
        <v>90</v>
      </c>
      <c r="B7" s="5" t="s">
        <v>100</v>
      </c>
      <c r="C7">
        <v>33</v>
      </c>
      <c r="D7">
        <v>60</v>
      </c>
      <c r="E7">
        <v>40</v>
      </c>
      <c r="F7" s="5" t="s">
        <v>106</v>
      </c>
      <c r="G7" t="str">
        <f t="shared" si="0"/>
        <v>Fail</v>
      </c>
      <c r="H7" t="str">
        <f t="shared" si="1"/>
        <v>Fail</v>
      </c>
    </row>
    <row r="8" spans="1:9">
      <c r="A8" s="5" t="s">
        <v>91</v>
      </c>
      <c r="B8" s="5" t="s">
        <v>101</v>
      </c>
      <c r="C8">
        <v>67</v>
      </c>
      <c r="D8">
        <v>85</v>
      </c>
      <c r="E8">
        <v>72</v>
      </c>
      <c r="F8" s="5" t="s">
        <v>105</v>
      </c>
      <c r="G8" t="str">
        <f t="shared" si="0"/>
        <v>Pass</v>
      </c>
      <c r="H8" t="str">
        <f t="shared" si="1"/>
        <v>B</v>
      </c>
    </row>
    <row r="9" spans="1:9">
      <c r="A9" s="5" t="s">
        <v>92</v>
      </c>
      <c r="B9" s="5" t="s">
        <v>102</v>
      </c>
      <c r="C9">
        <v>49</v>
      </c>
      <c r="D9">
        <v>71</v>
      </c>
      <c r="E9">
        <v>58</v>
      </c>
      <c r="F9" s="5" t="s">
        <v>106</v>
      </c>
      <c r="G9" t="str">
        <f t="shared" si="0"/>
        <v>Fail</v>
      </c>
      <c r="H9" t="str">
        <f t="shared" si="1"/>
        <v>Fail</v>
      </c>
    </row>
    <row r="10" spans="1:9">
      <c r="A10" s="5" t="s">
        <v>93</v>
      </c>
      <c r="B10" s="5" t="s">
        <v>103</v>
      </c>
      <c r="C10">
        <v>88</v>
      </c>
      <c r="D10">
        <v>97</v>
      </c>
      <c r="E10">
        <v>91</v>
      </c>
      <c r="F10" s="5" t="s">
        <v>105</v>
      </c>
      <c r="G10" t="str">
        <f t="shared" si="0"/>
        <v>Pass</v>
      </c>
      <c r="H10" t="str">
        <f t="shared" si="1"/>
        <v>A</v>
      </c>
    </row>
    <row r="11" spans="1:9">
      <c r="A11" s="5" t="s">
        <v>94</v>
      </c>
      <c r="B11" s="5" t="s">
        <v>104</v>
      </c>
      <c r="C11">
        <v>54</v>
      </c>
      <c r="D11">
        <v>76</v>
      </c>
      <c r="E11">
        <v>64</v>
      </c>
      <c r="F11" s="5" t="s">
        <v>106</v>
      </c>
      <c r="G11" t="str">
        <f t="shared" si="0"/>
        <v>Pass</v>
      </c>
      <c r="H11" t="str">
        <f t="shared" si="1"/>
        <v>B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55E60-9F16-48A3-A54E-8CC6F0C94B31}">
  <dimension ref="B1:D2"/>
  <sheetViews>
    <sheetView workbookViewId="0">
      <selection activeCell="D3" sqref="D3"/>
    </sheetView>
  </sheetViews>
  <sheetFormatPr defaultRowHeight="14.4"/>
  <sheetData>
    <row r="1" spans="2:4">
      <c r="B1" s="5" t="s">
        <v>69</v>
      </c>
      <c r="C1" s="5" t="s">
        <v>70</v>
      </c>
      <c r="D1" s="5" t="s">
        <v>71</v>
      </c>
    </row>
    <row r="2" spans="2:4">
      <c r="B2">
        <v>45</v>
      </c>
      <c r="C2">
        <v>63</v>
      </c>
      <c r="D2" t="b">
        <f>B2=C2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4187A-E5B1-4A58-B625-E1F4AF80035F}">
  <dimension ref="A1:AF377"/>
  <sheetViews>
    <sheetView topLeftCell="H1" workbookViewId="0">
      <pane ySplit="1" topLeftCell="A5" activePane="bottomLeft" state="frozen"/>
      <selection pane="bottomLeft" activeCell="P6" sqref="P6"/>
    </sheetView>
  </sheetViews>
  <sheetFormatPr defaultRowHeight="14.4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6" max="16" width="12.44140625" bestFit="1" customWidth="1"/>
    <col min="17" max="17" width="16.88671875" bestFit="1" customWidth="1"/>
    <col min="18" max="18" width="10.33203125" bestFit="1" customWidth="1"/>
    <col min="19" max="19" width="14" bestFit="1" customWidth="1"/>
    <col min="20" max="20" width="11.33203125" bestFit="1" customWidth="1"/>
    <col min="21" max="22" width="10.33203125" bestFit="1" customWidth="1"/>
    <col min="23" max="23" width="9.77734375" bestFit="1" customWidth="1"/>
    <col min="24" max="24" width="11.44140625" bestFit="1" customWidth="1"/>
    <col min="25" max="25" width="12.5546875" bestFit="1" customWidth="1"/>
    <col min="26" max="26" width="15.88671875" bestFit="1" customWidth="1"/>
    <col min="27" max="27" width="15.77734375" bestFit="1" customWidth="1"/>
    <col min="28" max="28" width="13.21875" bestFit="1" customWidth="1"/>
    <col min="29" max="29" width="7" bestFit="1" customWidth="1"/>
    <col min="30" max="30" width="9.44140625" bestFit="1" customWidth="1"/>
    <col min="31" max="31" width="9.109375" bestFit="1" customWidth="1"/>
    <col min="32" max="32" width="10.21875" bestFit="1" customWidth="1"/>
  </cols>
  <sheetData>
    <row r="1" spans="1:32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32">
      <c r="A2">
        <v>10004</v>
      </c>
      <c r="B2">
        <v>1270</v>
      </c>
      <c r="C2" s="21">
        <v>45079</v>
      </c>
      <c r="D2" s="21">
        <v>45087</v>
      </c>
      <c r="E2" t="s">
        <v>33</v>
      </c>
      <c r="F2" t="s">
        <v>28</v>
      </c>
      <c r="G2" t="s">
        <v>23</v>
      </c>
      <c r="H2" t="s">
        <v>34</v>
      </c>
      <c r="I2" t="s">
        <v>25</v>
      </c>
      <c r="J2" t="s">
        <v>35</v>
      </c>
      <c r="K2" t="s">
        <v>20</v>
      </c>
      <c r="L2">
        <v>1</v>
      </c>
      <c r="M2">
        <v>1008.79</v>
      </c>
      <c r="N2">
        <v>15</v>
      </c>
      <c r="P2" s="5" t="s">
        <v>128</v>
      </c>
    </row>
    <row r="3" spans="1:32">
      <c r="A3">
        <v>10045</v>
      </c>
      <c r="B3">
        <v>1699</v>
      </c>
      <c r="C3" s="21">
        <v>45139</v>
      </c>
      <c r="D3" s="21">
        <v>45147</v>
      </c>
      <c r="E3" t="s">
        <v>33</v>
      </c>
      <c r="F3" t="s">
        <v>15</v>
      </c>
      <c r="G3" t="s">
        <v>16</v>
      </c>
      <c r="H3" t="s">
        <v>24</v>
      </c>
      <c r="I3" t="s">
        <v>25</v>
      </c>
      <c r="J3" t="s">
        <v>60</v>
      </c>
      <c r="K3" t="s">
        <v>46</v>
      </c>
      <c r="L3">
        <v>1</v>
      </c>
      <c r="M3">
        <v>2764.92</v>
      </c>
      <c r="N3">
        <v>0</v>
      </c>
    </row>
    <row r="4" spans="1:32">
      <c r="A4">
        <v>10295</v>
      </c>
      <c r="B4">
        <v>1637</v>
      </c>
      <c r="C4" s="21">
        <v>45280</v>
      </c>
      <c r="D4" s="21">
        <v>45284</v>
      </c>
      <c r="E4" t="s">
        <v>33</v>
      </c>
      <c r="F4" t="s">
        <v>22</v>
      </c>
      <c r="G4" t="s">
        <v>23</v>
      </c>
      <c r="H4" t="s">
        <v>41</v>
      </c>
      <c r="I4" t="s">
        <v>30</v>
      </c>
      <c r="J4" t="s">
        <v>47</v>
      </c>
      <c r="K4" t="s">
        <v>32</v>
      </c>
      <c r="L4">
        <v>1</v>
      </c>
      <c r="M4">
        <v>619.73</v>
      </c>
      <c r="N4">
        <v>0</v>
      </c>
      <c r="P4" s="5" t="s">
        <v>129</v>
      </c>
      <c r="S4" s="4"/>
    </row>
    <row r="5" spans="1:32">
      <c r="A5">
        <v>10309</v>
      </c>
      <c r="B5">
        <v>1400</v>
      </c>
      <c r="C5" s="21">
        <v>44928</v>
      </c>
      <c r="D5" s="21">
        <v>44936</v>
      </c>
      <c r="E5" t="s">
        <v>33</v>
      </c>
      <c r="F5" t="s">
        <v>28</v>
      </c>
      <c r="G5" t="s">
        <v>29</v>
      </c>
      <c r="H5" t="s">
        <v>43</v>
      </c>
      <c r="I5" t="s">
        <v>48</v>
      </c>
      <c r="J5" t="s">
        <v>50</v>
      </c>
      <c r="K5" t="s">
        <v>46</v>
      </c>
      <c r="L5">
        <v>1</v>
      </c>
      <c r="M5">
        <v>2740.46</v>
      </c>
      <c r="N5">
        <v>10</v>
      </c>
      <c r="P5" s="12" t="s">
        <v>4</v>
      </c>
      <c r="Q5" s="12" t="s">
        <v>7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>
      <c r="A6">
        <v>10345</v>
      </c>
      <c r="B6">
        <v>1935</v>
      </c>
      <c r="C6" s="21">
        <v>44984</v>
      </c>
      <c r="D6" s="21">
        <v>44993</v>
      </c>
      <c r="E6" t="s">
        <v>33</v>
      </c>
      <c r="F6" t="s">
        <v>28</v>
      </c>
      <c r="G6" t="s">
        <v>29</v>
      </c>
      <c r="H6" t="s">
        <v>41</v>
      </c>
      <c r="I6" t="s">
        <v>25</v>
      </c>
      <c r="J6" t="s">
        <v>35</v>
      </c>
      <c r="K6" t="s">
        <v>44</v>
      </c>
      <c r="L6">
        <v>1</v>
      </c>
      <c r="M6">
        <v>3625.42</v>
      </c>
      <c r="N6">
        <v>10</v>
      </c>
      <c r="P6" s="11" t="s">
        <v>36</v>
      </c>
      <c r="Q6" s="11" t="s">
        <v>17</v>
      </c>
      <c r="U6" s="21"/>
      <c r="V6" s="21"/>
    </row>
    <row r="7" spans="1:32">
      <c r="A7">
        <v>10019</v>
      </c>
      <c r="B7">
        <v>1663</v>
      </c>
      <c r="C7" s="21">
        <v>44965</v>
      </c>
      <c r="D7" s="21">
        <v>44968</v>
      </c>
      <c r="E7" t="s">
        <v>33</v>
      </c>
      <c r="F7" t="s">
        <v>37</v>
      </c>
      <c r="G7" t="s">
        <v>29</v>
      </c>
      <c r="H7" t="s">
        <v>41</v>
      </c>
      <c r="I7" t="s">
        <v>30</v>
      </c>
      <c r="J7" t="s">
        <v>38</v>
      </c>
      <c r="K7" t="s">
        <v>32</v>
      </c>
      <c r="L7">
        <v>2</v>
      </c>
      <c r="M7">
        <v>990.3</v>
      </c>
      <c r="N7">
        <v>15</v>
      </c>
      <c r="P7" s="4"/>
      <c r="U7" s="21"/>
      <c r="V7" s="21"/>
    </row>
    <row r="8" spans="1:32">
      <c r="A8">
        <v>10190</v>
      </c>
      <c r="B8">
        <v>1857</v>
      </c>
      <c r="C8" s="21">
        <v>45185</v>
      </c>
      <c r="D8" s="21">
        <v>45187</v>
      </c>
      <c r="E8" t="s">
        <v>33</v>
      </c>
      <c r="F8" t="s">
        <v>53</v>
      </c>
      <c r="G8" t="s">
        <v>29</v>
      </c>
      <c r="H8" t="s">
        <v>24</v>
      </c>
      <c r="I8" t="s">
        <v>48</v>
      </c>
      <c r="J8" t="s">
        <v>50</v>
      </c>
      <c r="K8" t="s">
        <v>20</v>
      </c>
      <c r="L8">
        <v>2</v>
      </c>
      <c r="M8">
        <v>1372.59</v>
      </c>
      <c r="N8">
        <v>5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32">
      <c r="A9">
        <v>10194</v>
      </c>
      <c r="B9">
        <v>1690</v>
      </c>
      <c r="C9" s="21">
        <v>45180</v>
      </c>
      <c r="D9" s="21">
        <v>45182</v>
      </c>
      <c r="E9" t="s">
        <v>33</v>
      </c>
      <c r="F9" t="s">
        <v>40</v>
      </c>
      <c r="G9" t="s">
        <v>23</v>
      </c>
      <c r="H9" t="s">
        <v>24</v>
      </c>
      <c r="I9" t="s">
        <v>56</v>
      </c>
      <c r="J9" t="s">
        <v>58</v>
      </c>
      <c r="K9" t="s">
        <v>44</v>
      </c>
      <c r="L9">
        <v>2</v>
      </c>
      <c r="M9">
        <v>894.01</v>
      </c>
      <c r="N9">
        <v>15</v>
      </c>
      <c r="P9" s="4" t="s">
        <v>1</v>
      </c>
      <c r="Q9" s="4" t="s">
        <v>2</v>
      </c>
      <c r="R9" s="4" t="s">
        <v>3</v>
      </c>
      <c r="S9" s="4" t="s">
        <v>4</v>
      </c>
      <c r="T9" s="4" t="s">
        <v>5</v>
      </c>
      <c r="U9" s="4" t="s">
        <v>6</v>
      </c>
      <c r="V9" s="4" t="s">
        <v>7</v>
      </c>
      <c r="W9" s="4" t="s">
        <v>8</v>
      </c>
      <c r="X9" s="4" t="s">
        <v>9</v>
      </c>
      <c r="Y9" s="4" t="s">
        <v>10</v>
      </c>
      <c r="Z9" s="4" t="s">
        <v>11</v>
      </c>
      <c r="AA9" s="4" t="s">
        <v>12</v>
      </c>
      <c r="AB9" s="4" t="s">
        <v>13</v>
      </c>
    </row>
    <row r="10" spans="1:32">
      <c r="A10">
        <v>10239</v>
      </c>
      <c r="B10">
        <v>1384</v>
      </c>
      <c r="C10" s="21">
        <v>45146</v>
      </c>
      <c r="D10" s="21">
        <v>45149</v>
      </c>
      <c r="E10" t="s">
        <v>33</v>
      </c>
      <c r="F10" t="s">
        <v>40</v>
      </c>
      <c r="G10" t="s">
        <v>23</v>
      </c>
      <c r="H10" t="s">
        <v>24</v>
      </c>
      <c r="I10" t="s">
        <v>48</v>
      </c>
      <c r="J10" t="s">
        <v>62</v>
      </c>
      <c r="K10" t="s">
        <v>46</v>
      </c>
      <c r="L10">
        <v>2</v>
      </c>
      <c r="M10">
        <v>3960.56</v>
      </c>
      <c r="N10">
        <v>10</v>
      </c>
      <c r="P10">
        <v>1243</v>
      </c>
      <c r="Q10" s="21">
        <v>45110</v>
      </c>
      <c r="R10" s="21">
        <v>45115</v>
      </c>
      <c r="S10" t="s">
        <v>36</v>
      </c>
      <c r="T10" t="s">
        <v>15</v>
      </c>
      <c r="U10" t="s">
        <v>23</v>
      </c>
      <c r="V10" t="s">
        <v>17</v>
      </c>
      <c r="W10" t="s">
        <v>51</v>
      </c>
      <c r="X10" t="s">
        <v>63</v>
      </c>
      <c r="Y10" t="s">
        <v>44</v>
      </c>
      <c r="Z10">
        <v>2</v>
      </c>
      <c r="AA10">
        <v>3723.19</v>
      </c>
      <c r="AB10">
        <v>5</v>
      </c>
    </row>
    <row r="11" spans="1:32">
      <c r="A11">
        <v>10317</v>
      </c>
      <c r="B11">
        <v>1981</v>
      </c>
      <c r="C11" s="21">
        <v>45051</v>
      </c>
      <c r="D11" s="21">
        <v>45056</v>
      </c>
      <c r="E11" t="s">
        <v>33</v>
      </c>
      <c r="F11" t="s">
        <v>37</v>
      </c>
      <c r="G11" t="s">
        <v>23</v>
      </c>
      <c r="H11" t="s">
        <v>24</v>
      </c>
      <c r="I11" t="s">
        <v>48</v>
      </c>
      <c r="J11" t="s">
        <v>62</v>
      </c>
      <c r="K11" t="s">
        <v>46</v>
      </c>
      <c r="L11">
        <v>2</v>
      </c>
      <c r="M11">
        <v>788.72</v>
      </c>
      <c r="N11">
        <v>20</v>
      </c>
      <c r="P11">
        <v>1632</v>
      </c>
      <c r="Q11" s="21">
        <v>45108</v>
      </c>
      <c r="R11" s="21">
        <v>45109</v>
      </c>
      <c r="S11" t="s">
        <v>36</v>
      </c>
      <c r="T11" t="s">
        <v>22</v>
      </c>
      <c r="U11" t="s">
        <v>29</v>
      </c>
      <c r="V11" t="s">
        <v>17</v>
      </c>
      <c r="W11" t="s">
        <v>56</v>
      </c>
      <c r="X11" t="s">
        <v>58</v>
      </c>
      <c r="Y11" t="s">
        <v>27</v>
      </c>
      <c r="Z11">
        <v>2</v>
      </c>
      <c r="AA11">
        <v>601.53</v>
      </c>
      <c r="AB11">
        <v>20</v>
      </c>
    </row>
    <row r="12" spans="1:32">
      <c r="A12">
        <v>10088</v>
      </c>
      <c r="B12">
        <v>1561</v>
      </c>
      <c r="C12" s="21">
        <v>44939</v>
      </c>
      <c r="D12" s="21">
        <v>44946</v>
      </c>
      <c r="E12" t="s">
        <v>33</v>
      </c>
      <c r="F12" t="s">
        <v>28</v>
      </c>
      <c r="G12" t="s">
        <v>16</v>
      </c>
      <c r="H12" t="s">
        <v>41</v>
      </c>
      <c r="I12" t="s">
        <v>48</v>
      </c>
      <c r="J12" t="s">
        <v>62</v>
      </c>
      <c r="K12" t="s">
        <v>46</v>
      </c>
      <c r="L12">
        <v>3</v>
      </c>
      <c r="M12">
        <v>3879.4</v>
      </c>
      <c r="N12">
        <v>20</v>
      </c>
      <c r="P12">
        <v>1747</v>
      </c>
      <c r="Q12" s="21">
        <v>45161</v>
      </c>
      <c r="R12" s="21">
        <v>45165</v>
      </c>
      <c r="S12" t="s">
        <v>36</v>
      </c>
      <c r="T12" t="s">
        <v>15</v>
      </c>
      <c r="U12" t="s">
        <v>23</v>
      </c>
      <c r="V12" t="s">
        <v>17</v>
      </c>
      <c r="W12" t="s">
        <v>18</v>
      </c>
      <c r="X12" t="s">
        <v>54</v>
      </c>
      <c r="Y12" t="s">
        <v>20</v>
      </c>
      <c r="Z12">
        <v>4</v>
      </c>
      <c r="AA12">
        <v>853.29</v>
      </c>
      <c r="AB12">
        <v>5</v>
      </c>
    </row>
    <row r="13" spans="1:32">
      <c r="A13">
        <v>10129</v>
      </c>
      <c r="B13">
        <v>1040</v>
      </c>
      <c r="C13" s="21">
        <v>44940</v>
      </c>
      <c r="D13" s="21">
        <v>44946</v>
      </c>
      <c r="E13" t="s">
        <v>33</v>
      </c>
      <c r="F13" t="s">
        <v>28</v>
      </c>
      <c r="G13" t="s">
        <v>23</v>
      </c>
      <c r="H13" t="s">
        <v>43</v>
      </c>
      <c r="I13" t="s">
        <v>51</v>
      </c>
      <c r="J13" t="s">
        <v>55</v>
      </c>
      <c r="K13" t="s">
        <v>20</v>
      </c>
      <c r="L13">
        <v>3</v>
      </c>
      <c r="M13">
        <v>1621.67</v>
      </c>
      <c r="N13">
        <v>0</v>
      </c>
      <c r="P13">
        <v>1726</v>
      </c>
      <c r="Q13" s="21">
        <v>45153</v>
      </c>
      <c r="R13" s="21">
        <v>45154</v>
      </c>
      <c r="S13" t="s">
        <v>36</v>
      </c>
      <c r="T13" t="s">
        <v>40</v>
      </c>
      <c r="U13" t="s">
        <v>29</v>
      </c>
      <c r="V13" t="s">
        <v>17</v>
      </c>
      <c r="W13" t="s">
        <v>25</v>
      </c>
      <c r="X13" t="s">
        <v>35</v>
      </c>
      <c r="Y13" t="s">
        <v>20</v>
      </c>
      <c r="Z13">
        <v>4</v>
      </c>
      <c r="AA13">
        <v>1110.5899999999999</v>
      </c>
      <c r="AB13">
        <v>20</v>
      </c>
    </row>
    <row r="14" spans="1:32">
      <c r="A14">
        <v>10148</v>
      </c>
      <c r="B14">
        <v>1288</v>
      </c>
      <c r="C14" s="21">
        <v>45035</v>
      </c>
      <c r="D14" s="21">
        <v>45043</v>
      </c>
      <c r="E14" t="s">
        <v>33</v>
      </c>
      <c r="F14" t="s">
        <v>28</v>
      </c>
      <c r="G14" t="s">
        <v>29</v>
      </c>
      <c r="H14" t="s">
        <v>43</v>
      </c>
      <c r="I14" t="s">
        <v>18</v>
      </c>
      <c r="J14" t="s">
        <v>19</v>
      </c>
      <c r="K14" t="s">
        <v>46</v>
      </c>
      <c r="L14">
        <v>3</v>
      </c>
      <c r="M14">
        <v>3219.26</v>
      </c>
      <c r="N14">
        <v>10</v>
      </c>
      <c r="P14">
        <v>1379</v>
      </c>
      <c r="Q14" s="21">
        <v>44930</v>
      </c>
      <c r="R14" s="21">
        <v>44935</v>
      </c>
      <c r="S14" t="s">
        <v>36</v>
      </c>
      <c r="T14" t="s">
        <v>53</v>
      </c>
      <c r="U14" t="s">
        <v>23</v>
      </c>
      <c r="V14" t="s">
        <v>17</v>
      </c>
      <c r="W14" t="s">
        <v>30</v>
      </c>
      <c r="X14" t="s">
        <v>38</v>
      </c>
      <c r="Y14" t="s">
        <v>20</v>
      </c>
      <c r="Z14">
        <v>6</v>
      </c>
      <c r="AA14">
        <v>1846.21</v>
      </c>
      <c r="AB14">
        <v>10</v>
      </c>
    </row>
    <row r="15" spans="1:32">
      <c r="A15">
        <v>10174</v>
      </c>
      <c r="B15">
        <v>1738</v>
      </c>
      <c r="C15" s="21">
        <v>45186</v>
      </c>
      <c r="D15" s="21">
        <v>45195</v>
      </c>
      <c r="E15" t="s">
        <v>33</v>
      </c>
      <c r="F15" t="s">
        <v>15</v>
      </c>
      <c r="G15" t="s">
        <v>29</v>
      </c>
      <c r="H15" t="s">
        <v>17</v>
      </c>
      <c r="I15" t="s">
        <v>51</v>
      </c>
      <c r="J15" t="s">
        <v>52</v>
      </c>
      <c r="K15" t="s">
        <v>27</v>
      </c>
      <c r="L15">
        <v>3</v>
      </c>
      <c r="M15">
        <v>1104.31</v>
      </c>
      <c r="N15">
        <v>15</v>
      </c>
      <c r="P15">
        <v>1085</v>
      </c>
      <c r="Q15" s="21">
        <v>45221</v>
      </c>
      <c r="R15" s="21">
        <v>45227</v>
      </c>
      <c r="S15" t="s">
        <v>36</v>
      </c>
      <c r="T15" t="s">
        <v>22</v>
      </c>
      <c r="U15" t="s">
        <v>23</v>
      </c>
      <c r="V15" t="s">
        <v>17</v>
      </c>
      <c r="W15" t="s">
        <v>56</v>
      </c>
      <c r="X15" t="s">
        <v>65</v>
      </c>
      <c r="Y15" t="s">
        <v>20</v>
      </c>
      <c r="Z15">
        <v>6</v>
      </c>
      <c r="AA15">
        <v>809.49</v>
      </c>
      <c r="AB15">
        <v>5</v>
      </c>
    </row>
    <row r="16" spans="1:32">
      <c r="A16">
        <v>10244</v>
      </c>
      <c r="B16">
        <v>1627</v>
      </c>
      <c r="C16" s="21">
        <v>45032</v>
      </c>
      <c r="D16" s="21">
        <v>45038</v>
      </c>
      <c r="E16" t="s">
        <v>33</v>
      </c>
      <c r="F16" t="s">
        <v>28</v>
      </c>
      <c r="G16" t="s">
        <v>16</v>
      </c>
      <c r="H16" t="s">
        <v>43</v>
      </c>
      <c r="I16" t="s">
        <v>51</v>
      </c>
      <c r="J16" t="s">
        <v>52</v>
      </c>
      <c r="K16" t="s">
        <v>44</v>
      </c>
      <c r="L16">
        <v>3</v>
      </c>
      <c r="M16">
        <v>800.89</v>
      </c>
      <c r="N16">
        <v>0</v>
      </c>
      <c r="P16">
        <v>1008</v>
      </c>
      <c r="Q16" s="21">
        <v>45242</v>
      </c>
      <c r="R16" s="21">
        <v>45251</v>
      </c>
      <c r="S16" t="s">
        <v>36</v>
      </c>
      <c r="T16" t="s">
        <v>53</v>
      </c>
      <c r="U16" t="s">
        <v>29</v>
      </c>
      <c r="V16" t="s">
        <v>17</v>
      </c>
      <c r="W16" t="s">
        <v>56</v>
      </c>
      <c r="X16" t="s">
        <v>58</v>
      </c>
      <c r="Y16" t="s">
        <v>44</v>
      </c>
      <c r="Z16">
        <v>6</v>
      </c>
      <c r="AA16">
        <v>681.36</v>
      </c>
      <c r="AB16">
        <v>15</v>
      </c>
    </row>
    <row r="17" spans="1:28">
      <c r="A17">
        <v>10361</v>
      </c>
      <c r="B17">
        <v>1262</v>
      </c>
      <c r="C17" s="21">
        <v>45233</v>
      </c>
      <c r="D17" s="21">
        <v>45234</v>
      </c>
      <c r="E17" t="s">
        <v>33</v>
      </c>
      <c r="F17" t="s">
        <v>22</v>
      </c>
      <c r="G17" t="s">
        <v>23</v>
      </c>
      <c r="H17" t="s">
        <v>43</v>
      </c>
      <c r="I17" t="s">
        <v>56</v>
      </c>
      <c r="J17" t="s">
        <v>58</v>
      </c>
      <c r="K17" t="s">
        <v>20</v>
      </c>
      <c r="L17">
        <v>3</v>
      </c>
      <c r="M17">
        <v>2284.27</v>
      </c>
      <c r="N17">
        <v>20</v>
      </c>
      <c r="P17">
        <v>1106</v>
      </c>
      <c r="Q17" s="21">
        <v>45241</v>
      </c>
      <c r="R17" s="21">
        <v>45244</v>
      </c>
      <c r="S17" t="s">
        <v>36</v>
      </c>
      <c r="T17" t="s">
        <v>37</v>
      </c>
      <c r="U17" t="s">
        <v>29</v>
      </c>
      <c r="V17" t="s">
        <v>17</v>
      </c>
      <c r="W17" t="s">
        <v>30</v>
      </c>
      <c r="X17" t="s">
        <v>38</v>
      </c>
      <c r="Y17" t="s">
        <v>20</v>
      </c>
      <c r="Z17">
        <v>7</v>
      </c>
      <c r="AA17">
        <v>3511.47</v>
      </c>
      <c r="AB17">
        <v>20</v>
      </c>
    </row>
    <row r="18" spans="1:28">
      <c r="A18">
        <v>10439</v>
      </c>
      <c r="B18">
        <v>1669</v>
      </c>
      <c r="C18" s="21">
        <v>45174</v>
      </c>
      <c r="D18" s="21">
        <v>45179</v>
      </c>
      <c r="E18" t="s">
        <v>33</v>
      </c>
      <c r="F18" t="s">
        <v>28</v>
      </c>
      <c r="G18" t="s">
        <v>23</v>
      </c>
      <c r="H18" t="s">
        <v>34</v>
      </c>
      <c r="I18" t="s">
        <v>48</v>
      </c>
      <c r="J18" t="s">
        <v>50</v>
      </c>
      <c r="K18" t="s">
        <v>27</v>
      </c>
      <c r="L18">
        <v>3</v>
      </c>
      <c r="M18">
        <v>1448.62</v>
      </c>
      <c r="N18">
        <v>10</v>
      </c>
      <c r="P18">
        <v>1725</v>
      </c>
      <c r="Q18" s="21">
        <v>45044</v>
      </c>
      <c r="R18" s="21">
        <v>45048</v>
      </c>
      <c r="S18" t="s">
        <v>36</v>
      </c>
      <c r="T18" t="s">
        <v>15</v>
      </c>
      <c r="U18" t="s">
        <v>23</v>
      </c>
      <c r="V18" t="s">
        <v>17</v>
      </c>
      <c r="W18" t="s">
        <v>30</v>
      </c>
      <c r="X18" t="s">
        <v>64</v>
      </c>
      <c r="Y18" t="s">
        <v>32</v>
      </c>
      <c r="Z18">
        <v>7</v>
      </c>
      <c r="AA18">
        <v>2964.96</v>
      </c>
      <c r="AB18">
        <v>5</v>
      </c>
    </row>
    <row r="19" spans="1:28">
      <c r="A19">
        <v>10086</v>
      </c>
      <c r="B19">
        <v>1080</v>
      </c>
      <c r="C19" s="21">
        <v>44992</v>
      </c>
      <c r="D19" s="21">
        <v>44996</v>
      </c>
      <c r="E19" t="s">
        <v>33</v>
      </c>
      <c r="F19" t="s">
        <v>37</v>
      </c>
      <c r="G19" t="s">
        <v>29</v>
      </c>
      <c r="H19" t="s">
        <v>43</v>
      </c>
      <c r="I19" t="s">
        <v>30</v>
      </c>
      <c r="J19" t="s">
        <v>64</v>
      </c>
      <c r="K19" t="s">
        <v>44</v>
      </c>
      <c r="L19">
        <v>4</v>
      </c>
      <c r="M19">
        <v>518.55999999999995</v>
      </c>
      <c r="N19">
        <v>20</v>
      </c>
      <c r="P19">
        <v>1705</v>
      </c>
      <c r="Q19" s="21">
        <v>45028</v>
      </c>
      <c r="R19" s="21">
        <v>45034</v>
      </c>
      <c r="S19" t="s">
        <v>36</v>
      </c>
      <c r="T19" t="s">
        <v>15</v>
      </c>
      <c r="U19" t="s">
        <v>23</v>
      </c>
      <c r="V19" t="s">
        <v>17</v>
      </c>
      <c r="W19" t="s">
        <v>30</v>
      </c>
      <c r="X19" t="s">
        <v>38</v>
      </c>
      <c r="Y19" t="s">
        <v>32</v>
      </c>
      <c r="Z19">
        <v>7</v>
      </c>
      <c r="AA19">
        <v>1020.23</v>
      </c>
      <c r="AB19">
        <v>10</v>
      </c>
    </row>
    <row r="20" spans="1:28">
      <c r="A20">
        <v>10132</v>
      </c>
      <c r="B20">
        <v>1812</v>
      </c>
      <c r="C20" s="21">
        <v>45155</v>
      </c>
      <c r="D20" s="21">
        <v>45163</v>
      </c>
      <c r="E20" t="s">
        <v>33</v>
      </c>
      <c r="F20" t="s">
        <v>28</v>
      </c>
      <c r="G20" t="s">
        <v>23</v>
      </c>
      <c r="H20" t="s">
        <v>34</v>
      </c>
      <c r="I20" t="s">
        <v>56</v>
      </c>
      <c r="J20" t="s">
        <v>57</v>
      </c>
      <c r="K20" t="s">
        <v>46</v>
      </c>
      <c r="L20">
        <v>4</v>
      </c>
      <c r="M20">
        <v>3153.73</v>
      </c>
      <c r="N20">
        <v>0</v>
      </c>
      <c r="P20">
        <v>1975</v>
      </c>
      <c r="Q20" s="21">
        <v>45209</v>
      </c>
      <c r="R20" s="21">
        <v>45211</v>
      </c>
      <c r="S20" t="s">
        <v>36</v>
      </c>
      <c r="T20" t="s">
        <v>53</v>
      </c>
      <c r="U20" t="s">
        <v>23</v>
      </c>
      <c r="V20" t="s">
        <v>17</v>
      </c>
      <c r="W20" t="s">
        <v>48</v>
      </c>
      <c r="X20" t="s">
        <v>50</v>
      </c>
      <c r="Y20" t="s">
        <v>44</v>
      </c>
      <c r="Z20">
        <v>8</v>
      </c>
      <c r="AA20">
        <v>444.79</v>
      </c>
      <c r="AB20">
        <v>10</v>
      </c>
    </row>
    <row r="21" spans="1:28">
      <c r="A21">
        <v>10165</v>
      </c>
      <c r="B21">
        <v>1727</v>
      </c>
      <c r="C21" s="21">
        <v>45039</v>
      </c>
      <c r="D21" s="21">
        <v>45043</v>
      </c>
      <c r="E21" t="s">
        <v>33</v>
      </c>
      <c r="F21" t="s">
        <v>37</v>
      </c>
      <c r="G21" t="s">
        <v>23</v>
      </c>
      <c r="H21" t="s">
        <v>34</v>
      </c>
      <c r="I21" t="s">
        <v>56</v>
      </c>
      <c r="J21" t="s">
        <v>61</v>
      </c>
      <c r="K21" t="s">
        <v>27</v>
      </c>
      <c r="L21">
        <v>4</v>
      </c>
      <c r="M21">
        <v>3718.63</v>
      </c>
      <c r="N21">
        <v>20</v>
      </c>
      <c r="P21">
        <v>1556</v>
      </c>
      <c r="Q21" s="21">
        <v>45026</v>
      </c>
      <c r="R21" s="21">
        <v>45035</v>
      </c>
      <c r="S21" t="s">
        <v>36</v>
      </c>
      <c r="T21" t="s">
        <v>15</v>
      </c>
      <c r="U21" t="s">
        <v>23</v>
      </c>
      <c r="V21" t="s">
        <v>17</v>
      </c>
      <c r="W21" t="s">
        <v>18</v>
      </c>
      <c r="X21" t="s">
        <v>54</v>
      </c>
      <c r="Y21" t="s">
        <v>20</v>
      </c>
      <c r="Z21">
        <v>8</v>
      </c>
      <c r="AA21">
        <v>3240.98</v>
      </c>
      <c r="AB21">
        <v>0</v>
      </c>
    </row>
    <row r="22" spans="1:28">
      <c r="A22">
        <v>10199</v>
      </c>
      <c r="B22">
        <v>1563</v>
      </c>
      <c r="C22" s="21">
        <v>44977</v>
      </c>
      <c r="D22" s="21">
        <v>44984</v>
      </c>
      <c r="E22" t="s">
        <v>33</v>
      </c>
      <c r="F22" t="s">
        <v>22</v>
      </c>
      <c r="G22" t="s">
        <v>23</v>
      </c>
      <c r="H22" t="s">
        <v>34</v>
      </c>
      <c r="I22" t="s">
        <v>48</v>
      </c>
      <c r="J22" t="s">
        <v>50</v>
      </c>
      <c r="K22" t="s">
        <v>46</v>
      </c>
      <c r="L22">
        <v>4</v>
      </c>
      <c r="M22">
        <v>1428.19</v>
      </c>
      <c r="N22">
        <v>10</v>
      </c>
      <c r="P22">
        <v>1996</v>
      </c>
      <c r="Q22" s="21">
        <v>45215</v>
      </c>
      <c r="R22" s="21">
        <v>45218</v>
      </c>
      <c r="S22" t="s">
        <v>36</v>
      </c>
      <c r="T22" t="s">
        <v>40</v>
      </c>
      <c r="U22" t="s">
        <v>29</v>
      </c>
      <c r="V22" t="s">
        <v>17</v>
      </c>
      <c r="W22" t="s">
        <v>18</v>
      </c>
      <c r="X22" t="s">
        <v>19</v>
      </c>
      <c r="Y22" t="s">
        <v>27</v>
      </c>
      <c r="Z22">
        <v>8</v>
      </c>
      <c r="AA22">
        <v>2695.39</v>
      </c>
      <c r="AB22">
        <v>10</v>
      </c>
    </row>
    <row r="23" spans="1:28">
      <c r="A23">
        <v>10447</v>
      </c>
      <c r="B23">
        <v>1026</v>
      </c>
      <c r="C23" s="21">
        <v>45264</v>
      </c>
      <c r="D23" s="21">
        <v>45265</v>
      </c>
      <c r="E23" t="s">
        <v>33</v>
      </c>
      <c r="F23" t="s">
        <v>37</v>
      </c>
      <c r="G23" t="s">
        <v>16</v>
      </c>
      <c r="H23" t="s">
        <v>34</v>
      </c>
      <c r="I23" t="s">
        <v>25</v>
      </c>
      <c r="J23" t="s">
        <v>67</v>
      </c>
      <c r="K23" t="s">
        <v>27</v>
      </c>
      <c r="L23">
        <v>4</v>
      </c>
      <c r="M23">
        <v>3871.21</v>
      </c>
      <c r="N23">
        <v>10</v>
      </c>
      <c r="P23">
        <v>1609</v>
      </c>
      <c r="Q23" s="21">
        <v>45024</v>
      </c>
      <c r="R23" s="21">
        <v>45029</v>
      </c>
      <c r="S23" t="s">
        <v>36</v>
      </c>
      <c r="T23" t="s">
        <v>28</v>
      </c>
      <c r="U23" t="s">
        <v>23</v>
      </c>
      <c r="V23" t="s">
        <v>17</v>
      </c>
      <c r="W23" t="s">
        <v>48</v>
      </c>
      <c r="X23" t="s">
        <v>49</v>
      </c>
      <c r="Y23" t="s">
        <v>44</v>
      </c>
      <c r="Z23">
        <v>8</v>
      </c>
      <c r="AA23">
        <v>3253.02</v>
      </c>
      <c r="AB23">
        <v>15</v>
      </c>
    </row>
    <row r="24" spans="1:28">
      <c r="A24">
        <v>10007</v>
      </c>
      <c r="B24">
        <v>1700</v>
      </c>
      <c r="C24" s="21">
        <v>45050</v>
      </c>
      <c r="D24" s="21">
        <v>45054</v>
      </c>
      <c r="E24" t="s">
        <v>33</v>
      </c>
      <c r="F24" t="s">
        <v>40</v>
      </c>
      <c r="G24" t="s">
        <v>16</v>
      </c>
      <c r="H24" t="s">
        <v>43</v>
      </c>
      <c r="I24" t="s">
        <v>30</v>
      </c>
      <c r="J24" t="s">
        <v>31</v>
      </c>
      <c r="K24" t="s">
        <v>44</v>
      </c>
      <c r="L24">
        <v>5</v>
      </c>
      <c r="M24">
        <v>3030.42</v>
      </c>
      <c r="N24">
        <v>10</v>
      </c>
      <c r="P24">
        <v>1956</v>
      </c>
      <c r="Q24" s="21">
        <v>45054</v>
      </c>
      <c r="R24" s="21">
        <v>45056</v>
      </c>
      <c r="S24" t="s">
        <v>36</v>
      </c>
      <c r="T24" t="s">
        <v>53</v>
      </c>
      <c r="U24" t="s">
        <v>23</v>
      </c>
      <c r="V24" t="s">
        <v>17</v>
      </c>
      <c r="W24" t="s">
        <v>51</v>
      </c>
      <c r="X24" t="s">
        <v>52</v>
      </c>
      <c r="Y24" t="s">
        <v>27</v>
      </c>
      <c r="Z24">
        <v>8</v>
      </c>
      <c r="AA24">
        <v>1297.5899999999999</v>
      </c>
      <c r="AB24">
        <v>0</v>
      </c>
    </row>
    <row r="25" spans="1:28">
      <c r="A25">
        <v>10010</v>
      </c>
      <c r="B25">
        <v>1121</v>
      </c>
      <c r="C25" s="21">
        <v>45139</v>
      </c>
      <c r="D25" s="21">
        <v>45147</v>
      </c>
      <c r="E25" t="s">
        <v>33</v>
      </c>
      <c r="F25" t="s">
        <v>37</v>
      </c>
      <c r="G25" t="s">
        <v>23</v>
      </c>
      <c r="H25" t="s">
        <v>34</v>
      </c>
      <c r="I25" t="s">
        <v>48</v>
      </c>
      <c r="J25" t="s">
        <v>49</v>
      </c>
      <c r="K25" t="s">
        <v>46</v>
      </c>
      <c r="L25">
        <v>5</v>
      </c>
      <c r="M25">
        <v>1780.66</v>
      </c>
      <c r="N25">
        <v>20</v>
      </c>
      <c r="P25">
        <v>1476</v>
      </c>
      <c r="Q25" s="21">
        <v>45047</v>
      </c>
      <c r="R25" s="21">
        <v>45056</v>
      </c>
      <c r="S25" t="s">
        <v>36</v>
      </c>
      <c r="T25" t="s">
        <v>22</v>
      </c>
      <c r="U25" t="s">
        <v>23</v>
      </c>
      <c r="V25" t="s">
        <v>17</v>
      </c>
      <c r="W25" t="s">
        <v>51</v>
      </c>
      <c r="X25" t="s">
        <v>59</v>
      </c>
      <c r="Y25" t="s">
        <v>27</v>
      </c>
      <c r="Z25">
        <v>9</v>
      </c>
      <c r="AA25">
        <v>501.79</v>
      </c>
      <c r="AB25">
        <v>5</v>
      </c>
    </row>
    <row r="26" spans="1:28">
      <c r="A26">
        <v>10079</v>
      </c>
      <c r="B26">
        <v>1454</v>
      </c>
      <c r="C26" s="21">
        <v>45246</v>
      </c>
      <c r="D26" s="21">
        <v>45254</v>
      </c>
      <c r="E26" t="s">
        <v>33</v>
      </c>
      <c r="F26" t="s">
        <v>15</v>
      </c>
      <c r="G26" t="s">
        <v>29</v>
      </c>
      <c r="H26" t="s">
        <v>34</v>
      </c>
      <c r="I26" t="s">
        <v>30</v>
      </c>
      <c r="J26" t="s">
        <v>31</v>
      </c>
      <c r="K26" t="s">
        <v>32</v>
      </c>
      <c r="L26">
        <v>5</v>
      </c>
      <c r="M26">
        <v>2291.86</v>
      </c>
      <c r="N26">
        <v>15</v>
      </c>
      <c r="R26" s="21"/>
      <c r="U26" s="21"/>
      <c r="V26" s="21"/>
    </row>
    <row r="27" spans="1:28">
      <c r="A27">
        <v>10151</v>
      </c>
      <c r="B27">
        <v>1489</v>
      </c>
      <c r="C27" s="21">
        <v>45240</v>
      </c>
      <c r="D27" s="21">
        <v>45241</v>
      </c>
      <c r="E27" t="s">
        <v>33</v>
      </c>
      <c r="F27" t="s">
        <v>28</v>
      </c>
      <c r="G27" t="s">
        <v>29</v>
      </c>
      <c r="H27" t="s">
        <v>17</v>
      </c>
      <c r="I27" t="s">
        <v>48</v>
      </c>
      <c r="J27" t="s">
        <v>62</v>
      </c>
      <c r="K27" t="s">
        <v>46</v>
      </c>
      <c r="L27">
        <v>5</v>
      </c>
      <c r="M27">
        <v>1461.1</v>
      </c>
      <c r="N27">
        <v>15</v>
      </c>
      <c r="R27" s="21"/>
      <c r="U27" s="21"/>
      <c r="V27" s="21"/>
    </row>
    <row r="28" spans="1:28">
      <c r="A28">
        <v>10198</v>
      </c>
      <c r="B28">
        <v>1240</v>
      </c>
      <c r="C28" s="21">
        <v>45291</v>
      </c>
      <c r="D28" s="21">
        <v>45292</v>
      </c>
      <c r="E28" t="s">
        <v>33</v>
      </c>
      <c r="F28" t="s">
        <v>40</v>
      </c>
      <c r="G28" t="s">
        <v>16</v>
      </c>
      <c r="H28" t="s">
        <v>41</v>
      </c>
      <c r="I28" t="s">
        <v>18</v>
      </c>
      <c r="J28" t="s">
        <v>68</v>
      </c>
      <c r="K28" t="s">
        <v>44</v>
      </c>
      <c r="L28">
        <v>5</v>
      </c>
      <c r="M28">
        <v>1227.02</v>
      </c>
      <c r="N28">
        <v>15</v>
      </c>
      <c r="R28" s="21"/>
      <c r="U28" s="21"/>
      <c r="V28" s="21"/>
    </row>
    <row r="29" spans="1:28">
      <c r="A29">
        <v>10011</v>
      </c>
      <c r="B29">
        <v>1466</v>
      </c>
      <c r="C29" s="21">
        <v>45098</v>
      </c>
      <c r="D29" s="21">
        <v>45106</v>
      </c>
      <c r="E29" t="s">
        <v>33</v>
      </c>
      <c r="F29" t="s">
        <v>37</v>
      </c>
      <c r="G29" t="s">
        <v>16</v>
      </c>
      <c r="H29" t="s">
        <v>34</v>
      </c>
      <c r="I29" t="s">
        <v>48</v>
      </c>
      <c r="J29" t="s">
        <v>49</v>
      </c>
      <c r="K29" t="s">
        <v>32</v>
      </c>
      <c r="L29">
        <v>6</v>
      </c>
      <c r="M29">
        <v>3205.25</v>
      </c>
      <c r="N29">
        <v>0</v>
      </c>
      <c r="R29" s="21"/>
      <c r="U29" s="21"/>
      <c r="V29" s="21"/>
    </row>
    <row r="30" spans="1:28">
      <c r="A30">
        <v>10034</v>
      </c>
      <c r="B30">
        <v>1313</v>
      </c>
      <c r="C30" s="21">
        <v>45182</v>
      </c>
      <c r="D30" s="21">
        <v>45191</v>
      </c>
      <c r="E30" t="s">
        <v>33</v>
      </c>
      <c r="F30" t="s">
        <v>22</v>
      </c>
      <c r="G30" t="s">
        <v>29</v>
      </c>
      <c r="H30" t="s">
        <v>24</v>
      </c>
      <c r="I30" t="s">
        <v>30</v>
      </c>
      <c r="J30" t="s">
        <v>47</v>
      </c>
      <c r="K30" t="s">
        <v>46</v>
      </c>
      <c r="L30">
        <v>6</v>
      </c>
      <c r="M30">
        <v>1529.59</v>
      </c>
      <c r="N30">
        <v>0</v>
      </c>
      <c r="R30" s="21"/>
      <c r="U30" s="21"/>
      <c r="V30" s="21"/>
    </row>
    <row r="31" spans="1:28">
      <c r="A31">
        <v>10068</v>
      </c>
      <c r="B31">
        <v>1315</v>
      </c>
      <c r="C31" s="21">
        <v>45062</v>
      </c>
      <c r="D31" s="21">
        <v>45064</v>
      </c>
      <c r="E31" t="s">
        <v>33</v>
      </c>
      <c r="F31" t="s">
        <v>40</v>
      </c>
      <c r="G31" t="s">
        <v>29</v>
      </c>
      <c r="H31" t="s">
        <v>43</v>
      </c>
      <c r="I31" t="s">
        <v>30</v>
      </c>
      <c r="J31" t="s">
        <v>47</v>
      </c>
      <c r="K31" t="s">
        <v>27</v>
      </c>
      <c r="L31">
        <v>6</v>
      </c>
      <c r="M31">
        <v>1380.66</v>
      </c>
      <c r="N31">
        <v>0</v>
      </c>
      <c r="R31" s="21"/>
      <c r="U31" s="21"/>
      <c r="V31" s="21"/>
    </row>
    <row r="32" spans="1:28">
      <c r="A32">
        <v>10159</v>
      </c>
      <c r="B32">
        <v>1929</v>
      </c>
      <c r="C32" s="21">
        <v>45109</v>
      </c>
      <c r="D32" s="21">
        <v>45113</v>
      </c>
      <c r="E32" t="s">
        <v>33</v>
      </c>
      <c r="F32" t="s">
        <v>15</v>
      </c>
      <c r="G32" t="s">
        <v>23</v>
      </c>
      <c r="H32" t="s">
        <v>24</v>
      </c>
      <c r="I32" t="s">
        <v>48</v>
      </c>
      <c r="J32" t="s">
        <v>66</v>
      </c>
      <c r="K32" t="s">
        <v>44</v>
      </c>
      <c r="L32">
        <v>6</v>
      </c>
      <c r="M32">
        <v>3800.77</v>
      </c>
      <c r="N32">
        <v>0</v>
      </c>
      <c r="R32" s="21"/>
      <c r="U32" s="21"/>
      <c r="V32" s="21"/>
    </row>
    <row r="33" spans="1:22">
      <c r="A33">
        <v>10195</v>
      </c>
      <c r="B33">
        <v>1574</v>
      </c>
      <c r="C33" s="21">
        <v>45044</v>
      </c>
      <c r="D33" s="21">
        <v>45045</v>
      </c>
      <c r="E33" t="s">
        <v>33</v>
      </c>
      <c r="F33" t="s">
        <v>22</v>
      </c>
      <c r="G33" t="s">
        <v>16</v>
      </c>
      <c r="H33" t="s">
        <v>34</v>
      </c>
      <c r="I33" t="s">
        <v>30</v>
      </c>
      <c r="J33" t="s">
        <v>64</v>
      </c>
      <c r="K33" t="s">
        <v>46</v>
      </c>
      <c r="L33">
        <v>6</v>
      </c>
      <c r="M33">
        <v>344.65</v>
      </c>
      <c r="N33">
        <v>10</v>
      </c>
      <c r="R33" s="21"/>
      <c r="U33" s="21"/>
      <c r="V33" s="21"/>
    </row>
    <row r="34" spans="1:22">
      <c r="A34">
        <v>10371</v>
      </c>
      <c r="B34">
        <v>1253</v>
      </c>
      <c r="C34" s="21">
        <v>44973</v>
      </c>
      <c r="D34" s="21">
        <v>44979</v>
      </c>
      <c r="E34" t="s">
        <v>33</v>
      </c>
      <c r="F34" t="s">
        <v>40</v>
      </c>
      <c r="G34" t="s">
        <v>16</v>
      </c>
      <c r="H34" t="s">
        <v>17</v>
      </c>
      <c r="I34" t="s">
        <v>48</v>
      </c>
      <c r="J34" t="s">
        <v>66</v>
      </c>
      <c r="K34" t="s">
        <v>46</v>
      </c>
      <c r="L34">
        <v>6</v>
      </c>
      <c r="M34">
        <v>2715.13</v>
      </c>
      <c r="N34">
        <v>20</v>
      </c>
      <c r="R34" s="21"/>
      <c r="U34" s="21"/>
      <c r="V34" s="21"/>
    </row>
    <row r="35" spans="1:22">
      <c r="A35">
        <v>10039</v>
      </c>
      <c r="B35">
        <v>1560</v>
      </c>
      <c r="C35" s="21">
        <v>44948</v>
      </c>
      <c r="D35" s="21">
        <v>44953</v>
      </c>
      <c r="E35" t="s">
        <v>33</v>
      </c>
      <c r="F35" t="s">
        <v>40</v>
      </c>
      <c r="G35" t="s">
        <v>16</v>
      </c>
      <c r="H35" t="s">
        <v>17</v>
      </c>
      <c r="I35" t="s">
        <v>30</v>
      </c>
      <c r="J35" t="s">
        <v>47</v>
      </c>
      <c r="K35" t="s">
        <v>44</v>
      </c>
      <c r="L35">
        <v>7</v>
      </c>
      <c r="M35">
        <v>2369.42</v>
      </c>
      <c r="N35">
        <v>15</v>
      </c>
      <c r="R35" s="21"/>
      <c r="U35" s="21"/>
      <c r="V35" s="21"/>
    </row>
    <row r="36" spans="1:22">
      <c r="A36">
        <v>10131</v>
      </c>
      <c r="B36">
        <v>1014</v>
      </c>
      <c r="C36" s="21">
        <v>45142</v>
      </c>
      <c r="D36" s="21">
        <v>45151</v>
      </c>
      <c r="E36" t="s">
        <v>33</v>
      </c>
      <c r="F36" t="s">
        <v>37</v>
      </c>
      <c r="G36" t="s">
        <v>23</v>
      </c>
      <c r="H36" t="s">
        <v>43</v>
      </c>
      <c r="I36" t="s">
        <v>30</v>
      </c>
      <c r="J36" t="s">
        <v>31</v>
      </c>
      <c r="K36" t="s">
        <v>20</v>
      </c>
      <c r="L36">
        <v>7</v>
      </c>
      <c r="M36">
        <v>1899.45</v>
      </c>
      <c r="N36">
        <v>15</v>
      </c>
      <c r="R36" s="21"/>
      <c r="U36" s="21"/>
      <c r="V36" s="21"/>
    </row>
    <row r="37" spans="1:22">
      <c r="A37">
        <v>10185</v>
      </c>
      <c r="B37">
        <v>1870</v>
      </c>
      <c r="C37" s="21">
        <v>45016</v>
      </c>
      <c r="D37" s="21">
        <v>45023</v>
      </c>
      <c r="E37" t="s">
        <v>33</v>
      </c>
      <c r="F37" t="s">
        <v>15</v>
      </c>
      <c r="G37" t="s">
        <v>16</v>
      </c>
      <c r="H37" t="s">
        <v>17</v>
      </c>
      <c r="I37" t="s">
        <v>30</v>
      </c>
      <c r="J37" t="s">
        <v>38</v>
      </c>
      <c r="K37" t="s">
        <v>46</v>
      </c>
      <c r="L37">
        <v>7</v>
      </c>
      <c r="M37">
        <v>898.62</v>
      </c>
      <c r="N37">
        <v>0</v>
      </c>
      <c r="R37" s="21"/>
      <c r="U37" s="21"/>
      <c r="V37" s="21"/>
    </row>
    <row r="38" spans="1:22">
      <c r="A38">
        <v>10482</v>
      </c>
      <c r="B38">
        <v>1606</v>
      </c>
      <c r="C38" s="21">
        <v>45153</v>
      </c>
      <c r="D38" s="21">
        <v>45162</v>
      </c>
      <c r="E38" t="s">
        <v>33</v>
      </c>
      <c r="F38" t="s">
        <v>53</v>
      </c>
      <c r="G38" t="s">
        <v>23</v>
      </c>
      <c r="H38" t="s">
        <v>24</v>
      </c>
      <c r="I38" t="s">
        <v>56</v>
      </c>
      <c r="J38" t="s">
        <v>65</v>
      </c>
      <c r="K38" t="s">
        <v>32</v>
      </c>
      <c r="L38">
        <v>7</v>
      </c>
      <c r="M38">
        <v>2172.2399999999998</v>
      </c>
      <c r="N38">
        <v>20</v>
      </c>
      <c r="R38" s="21"/>
      <c r="U38" s="21"/>
      <c r="V38" s="21"/>
    </row>
    <row r="39" spans="1:22">
      <c r="A39">
        <v>10238</v>
      </c>
      <c r="B39">
        <v>1224</v>
      </c>
      <c r="C39" s="21">
        <v>45089</v>
      </c>
      <c r="D39" s="21">
        <v>45093</v>
      </c>
      <c r="E39" t="s">
        <v>33</v>
      </c>
      <c r="F39" t="s">
        <v>37</v>
      </c>
      <c r="G39" t="s">
        <v>23</v>
      </c>
      <c r="H39" t="s">
        <v>34</v>
      </c>
      <c r="I39" t="s">
        <v>56</v>
      </c>
      <c r="J39" t="s">
        <v>61</v>
      </c>
      <c r="K39" t="s">
        <v>44</v>
      </c>
      <c r="L39">
        <v>8</v>
      </c>
      <c r="M39">
        <v>284.52</v>
      </c>
      <c r="N39">
        <v>15</v>
      </c>
      <c r="R39" s="21"/>
      <c r="U39" s="21"/>
      <c r="V39" s="21"/>
    </row>
    <row r="40" spans="1:22">
      <c r="A40">
        <v>10360</v>
      </c>
      <c r="B40">
        <v>1610</v>
      </c>
      <c r="C40" s="21">
        <v>45123</v>
      </c>
      <c r="D40" s="21">
        <v>45124</v>
      </c>
      <c r="E40" t="s">
        <v>33</v>
      </c>
      <c r="F40" t="s">
        <v>40</v>
      </c>
      <c r="G40" t="s">
        <v>29</v>
      </c>
      <c r="H40" t="s">
        <v>41</v>
      </c>
      <c r="I40" t="s">
        <v>30</v>
      </c>
      <c r="J40" t="s">
        <v>31</v>
      </c>
      <c r="K40" t="s">
        <v>44</v>
      </c>
      <c r="L40">
        <v>8</v>
      </c>
      <c r="M40">
        <v>1392.5</v>
      </c>
      <c r="N40">
        <v>15</v>
      </c>
      <c r="R40" s="21"/>
      <c r="U40" s="21"/>
      <c r="V40" s="21"/>
    </row>
    <row r="41" spans="1:22">
      <c r="A41">
        <v>10470</v>
      </c>
      <c r="B41">
        <v>1045</v>
      </c>
      <c r="C41" s="21">
        <v>44927</v>
      </c>
      <c r="D41" s="21">
        <v>44936</v>
      </c>
      <c r="E41" t="s">
        <v>33</v>
      </c>
      <c r="F41" t="s">
        <v>28</v>
      </c>
      <c r="G41" t="s">
        <v>29</v>
      </c>
      <c r="H41" t="s">
        <v>17</v>
      </c>
      <c r="I41" t="s">
        <v>25</v>
      </c>
      <c r="J41" t="s">
        <v>35</v>
      </c>
      <c r="K41" t="s">
        <v>27</v>
      </c>
      <c r="L41">
        <v>8</v>
      </c>
      <c r="M41">
        <v>150.72</v>
      </c>
      <c r="N41">
        <v>5</v>
      </c>
      <c r="R41" s="21"/>
      <c r="U41" s="21"/>
      <c r="V41" s="21"/>
    </row>
    <row r="42" spans="1:22">
      <c r="A42">
        <v>10481</v>
      </c>
      <c r="B42">
        <v>1180</v>
      </c>
      <c r="C42" s="21">
        <v>44947</v>
      </c>
      <c r="D42" s="21">
        <v>44955</v>
      </c>
      <c r="E42" t="s">
        <v>33</v>
      </c>
      <c r="F42" t="s">
        <v>40</v>
      </c>
      <c r="G42" t="s">
        <v>16</v>
      </c>
      <c r="H42" t="s">
        <v>43</v>
      </c>
      <c r="I42" t="s">
        <v>48</v>
      </c>
      <c r="J42" t="s">
        <v>49</v>
      </c>
      <c r="K42" t="s">
        <v>46</v>
      </c>
      <c r="L42">
        <v>8</v>
      </c>
      <c r="M42">
        <v>1160.51</v>
      </c>
      <c r="N42">
        <v>0</v>
      </c>
      <c r="R42" s="21"/>
      <c r="U42" s="21"/>
      <c r="V42" s="21"/>
    </row>
    <row r="43" spans="1:22">
      <c r="A43">
        <v>10489</v>
      </c>
      <c r="B43">
        <v>1980</v>
      </c>
      <c r="C43" s="21">
        <v>45178</v>
      </c>
      <c r="D43" s="21">
        <v>45187</v>
      </c>
      <c r="E43" t="s">
        <v>33</v>
      </c>
      <c r="F43" t="s">
        <v>22</v>
      </c>
      <c r="G43" t="s">
        <v>23</v>
      </c>
      <c r="H43" t="s">
        <v>17</v>
      </c>
      <c r="I43" t="s">
        <v>56</v>
      </c>
      <c r="J43" t="s">
        <v>61</v>
      </c>
      <c r="K43" t="s">
        <v>32</v>
      </c>
      <c r="L43">
        <v>8</v>
      </c>
      <c r="M43">
        <v>2536.88</v>
      </c>
      <c r="N43">
        <v>5</v>
      </c>
      <c r="R43" s="21"/>
      <c r="U43" s="21"/>
      <c r="V43" s="21"/>
    </row>
    <row r="44" spans="1:22">
      <c r="A44">
        <v>10026</v>
      </c>
      <c r="B44">
        <v>1413</v>
      </c>
      <c r="C44" s="21">
        <v>45228</v>
      </c>
      <c r="D44" s="21">
        <v>45231</v>
      </c>
      <c r="E44" t="s">
        <v>33</v>
      </c>
      <c r="F44" t="s">
        <v>15</v>
      </c>
      <c r="G44" t="s">
        <v>29</v>
      </c>
      <c r="H44" t="s">
        <v>41</v>
      </c>
      <c r="I44" t="s">
        <v>51</v>
      </c>
      <c r="J44" t="s">
        <v>59</v>
      </c>
      <c r="K44" t="s">
        <v>32</v>
      </c>
      <c r="L44">
        <v>9</v>
      </c>
      <c r="M44">
        <v>444.29</v>
      </c>
      <c r="N44">
        <v>5</v>
      </c>
      <c r="R44" s="21"/>
      <c r="U44" s="21"/>
      <c r="V44" s="21"/>
    </row>
    <row r="45" spans="1:22">
      <c r="A45">
        <v>10454</v>
      </c>
      <c r="B45">
        <v>1959</v>
      </c>
      <c r="C45" s="21">
        <v>45251</v>
      </c>
      <c r="D45" s="21">
        <v>45255</v>
      </c>
      <c r="E45" t="s">
        <v>33</v>
      </c>
      <c r="F45" t="s">
        <v>40</v>
      </c>
      <c r="G45" t="s">
        <v>16</v>
      </c>
      <c r="H45" t="s">
        <v>24</v>
      </c>
      <c r="I45" t="s">
        <v>56</v>
      </c>
      <c r="J45" t="s">
        <v>57</v>
      </c>
      <c r="K45" t="s">
        <v>27</v>
      </c>
      <c r="L45">
        <v>9</v>
      </c>
      <c r="M45">
        <v>3191.56</v>
      </c>
      <c r="N45">
        <v>20</v>
      </c>
      <c r="R45" s="21"/>
      <c r="U45" s="21"/>
      <c r="V45" s="21"/>
    </row>
    <row r="46" spans="1:22">
      <c r="A46">
        <v>10018</v>
      </c>
      <c r="B46">
        <v>1871</v>
      </c>
      <c r="C46" s="21">
        <v>45045</v>
      </c>
      <c r="D46" s="21">
        <v>45048</v>
      </c>
      <c r="E46" t="s">
        <v>14</v>
      </c>
      <c r="F46" t="s">
        <v>28</v>
      </c>
      <c r="G46" t="s">
        <v>23</v>
      </c>
      <c r="H46" t="s">
        <v>17</v>
      </c>
      <c r="I46" t="s">
        <v>18</v>
      </c>
      <c r="J46" t="s">
        <v>54</v>
      </c>
      <c r="K46" t="s">
        <v>27</v>
      </c>
      <c r="L46">
        <v>1</v>
      </c>
      <c r="M46">
        <v>2165.81</v>
      </c>
      <c r="N46">
        <v>15</v>
      </c>
      <c r="R46" s="21"/>
      <c r="U46" s="21"/>
      <c r="V46" s="21"/>
    </row>
    <row r="47" spans="1:22">
      <c r="A47">
        <v>10111</v>
      </c>
      <c r="B47">
        <v>1461</v>
      </c>
      <c r="C47" s="21">
        <v>44950</v>
      </c>
      <c r="D47" s="21">
        <v>44959</v>
      </c>
      <c r="E47" t="s">
        <v>14</v>
      </c>
      <c r="F47" t="s">
        <v>53</v>
      </c>
      <c r="G47" t="s">
        <v>29</v>
      </c>
      <c r="H47" t="s">
        <v>34</v>
      </c>
      <c r="I47" t="s">
        <v>48</v>
      </c>
      <c r="J47" t="s">
        <v>66</v>
      </c>
      <c r="K47" t="s">
        <v>32</v>
      </c>
      <c r="L47">
        <v>1</v>
      </c>
      <c r="M47">
        <v>1820.02</v>
      </c>
      <c r="N47">
        <v>10</v>
      </c>
      <c r="R47" s="21"/>
      <c r="U47" s="21"/>
      <c r="V47" s="21"/>
    </row>
    <row r="48" spans="1:22">
      <c r="A48">
        <v>10130</v>
      </c>
      <c r="B48">
        <v>1156</v>
      </c>
      <c r="C48" s="21">
        <v>44929</v>
      </c>
      <c r="D48" s="21">
        <v>44938</v>
      </c>
      <c r="E48" t="s">
        <v>14</v>
      </c>
      <c r="F48" t="s">
        <v>40</v>
      </c>
      <c r="G48" t="s">
        <v>16</v>
      </c>
      <c r="H48" t="s">
        <v>41</v>
      </c>
      <c r="I48" t="s">
        <v>56</v>
      </c>
      <c r="J48" t="s">
        <v>61</v>
      </c>
      <c r="K48" t="s">
        <v>32</v>
      </c>
      <c r="L48">
        <v>1</v>
      </c>
      <c r="M48">
        <v>2534.4699999999998</v>
      </c>
      <c r="N48">
        <v>5</v>
      </c>
      <c r="R48" s="21"/>
      <c r="U48" s="21"/>
      <c r="V48" s="21"/>
    </row>
    <row r="49" spans="1:22">
      <c r="A49">
        <v>10350</v>
      </c>
      <c r="B49">
        <v>1640</v>
      </c>
      <c r="C49" s="21">
        <v>45180</v>
      </c>
      <c r="D49" s="21">
        <v>45185</v>
      </c>
      <c r="E49" t="s">
        <v>14</v>
      </c>
      <c r="F49" t="s">
        <v>40</v>
      </c>
      <c r="G49" t="s">
        <v>16</v>
      </c>
      <c r="H49" t="s">
        <v>43</v>
      </c>
      <c r="I49" t="s">
        <v>56</v>
      </c>
      <c r="J49" t="s">
        <v>61</v>
      </c>
      <c r="K49" t="s">
        <v>20</v>
      </c>
      <c r="L49">
        <v>1</v>
      </c>
      <c r="M49">
        <v>3708.38</v>
      </c>
      <c r="N49">
        <v>20</v>
      </c>
      <c r="R49" s="21"/>
      <c r="U49" s="21"/>
      <c r="V49" s="21"/>
    </row>
    <row r="50" spans="1:22">
      <c r="A50">
        <v>10379</v>
      </c>
      <c r="B50">
        <v>1658</v>
      </c>
      <c r="C50" s="21">
        <v>45262</v>
      </c>
      <c r="D50" s="21">
        <v>45270</v>
      </c>
      <c r="E50" t="s">
        <v>14</v>
      </c>
      <c r="F50" t="s">
        <v>15</v>
      </c>
      <c r="G50" t="s">
        <v>23</v>
      </c>
      <c r="H50" t="s">
        <v>34</v>
      </c>
      <c r="I50" t="s">
        <v>25</v>
      </c>
      <c r="J50" t="s">
        <v>67</v>
      </c>
      <c r="K50" t="s">
        <v>44</v>
      </c>
      <c r="L50">
        <v>1</v>
      </c>
      <c r="M50">
        <v>3910.66</v>
      </c>
      <c r="N50">
        <v>5</v>
      </c>
      <c r="R50" s="21"/>
      <c r="U50" s="21"/>
      <c r="V50" s="21"/>
    </row>
    <row r="51" spans="1:22">
      <c r="A51">
        <v>10500</v>
      </c>
      <c r="B51">
        <v>1569</v>
      </c>
      <c r="C51" s="21">
        <v>44972</v>
      </c>
      <c r="D51" s="21">
        <v>44977</v>
      </c>
      <c r="E51" t="s">
        <v>14</v>
      </c>
      <c r="F51" t="s">
        <v>15</v>
      </c>
      <c r="G51" t="s">
        <v>29</v>
      </c>
      <c r="H51" t="s">
        <v>41</v>
      </c>
      <c r="I51" t="s">
        <v>30</v>
      </c>
      <c r="J51" t="s">
        <v>64</v>
      </c>
      <c r="K51" t="s">
        <v>32</v>
      </c>
      <c r="L51">
        <v>1</v>
      </c>
      <c r="M51">
        <v>2432.17</v>
      </c>
      <c r="N51">
        <v>20</v>
      </c>
      <c r="R51" s="21"/>
      <c r="U51" s="21"/>
      <c r="V51" s="21"/>
    </row>
    <row r="52" spans="1:22">
      <c r="A52">
        <v>10065</v>
      </c>
      <c r="B52">
        <v>1273</v>
      </c>
      <c r="C52" s="21">
        <v>45054</v>
      </c>
      <c r="D52" s="21">
        <v>45058</v>
      </c>
      <c r="E52" t="s">
        <v>14</v>
      </c>
      <c r="F52" t="s">
        <v>37</v>
      </c>
      <c r="G52" t="s">
        <v>16</v>
      </c>
      <c r="H52" t="s">
        <v>41</v>
      </c>
      <c r="I52" t="s">
        <v>18</v>
      </c>
      <c r="J52" t="s">
        <v>42</v>
      </c>
      <c r="K52" t="s">
        <v>44</v>
      </c>
      <c r="L52">
        <v>2</v>
      </c>
      <c r="M52">
        <v>2773.21</v>
      </c>
      <c r="N52">
        <v>10</v>
      </c>
      <c r="R52" s="21"/>
      <c r="U52" s="21"/>
      <c r="V52" s="21"/>
    </row>
    <row r="53" spans="1:22">
      <c r="A53">
        <v>10108</v>
      </c>
      <c r="B53">
        <v>1815</v>
      </c>
      <c r="C53" s="21">
        <v>45037</v>
      </c>
      <c r="D53" s="21">
        <v>45045</v>
      </c>
      <c r="E53" t="s">
        <v>14</v>
      </c>
      <c r="F53" t="s">
        <v>28</v>
      </c>
      <c r="G53" t="s">
        <v>23</v>
      </c>
      <c r="H53" t="s">
        <v>17</v>
      </c>
      <c r="I53" t="s">
        <v>25</v>
      </c>
      <c r="J53" t="s">
        <v>35</v>
      </c>
      <c r="K53" t="s">
        <v>20</v>
      </c>
      <c r="L53">
        <v>2</v>
      </c>
      <c r="M53">
        <v>564.30999999999995</v>
      </c>
      <c r="N53">
        <v>15</v>
      </c>
      <c r="R53" s="21"/>
      <c r="U53" s="21"/>
      <c r="V53" s="21"/>
    </row>
    <row r="54" spans="1:22">
      <c r="A54">
        <v>10192</v>
      </c>
      <c r="B54">
        <v>1891</v>
      </c>
      <c r="C54" s="21">
        <v>45039</v>
      </c>
      <c r="D54" s="21">
        <v>45042</v>
      </c>
      <c r="E54" t="s">
        <v>14</v>
      </c>
      <c r="F54" t="s">
        <v>28</v>
      </c>
      <c r="G54" t="s">
        <v>29</v>
      </c>
      <c r="H54" t="s">
        <v>34</v>
      </c>
      <c r="I54" t="s">
        <v>51</v>
      </c>
      <c r="J54" t="s">
        <v>59</v>
      </c>
      <c r="K54" t="s">
        <v>20</v>
      </c>
      <c r="L54">
        <v>2</v>
      </c>
      <c r="M54">
        <v>487.23</v>
      </c>
      <c r="N54">
        <v>15</v>
      </c>
      <c r="R54" s="21"/>
      <c r="U54" s="21"/>
      <c r="V54" s="21"/>
    </row>
    <row r="55" spans="1:22">
      <c r="A55">
        <v>10261</v>
      </c>
      <c r="B55">
        <v>1826</v>
      </c>
      <c r="C55" s="21">
        <v>44933</v>
      </c>
      <c r="D55" s="21">
        <v>44936</v>
      </c>
      <c r="E55" t="s">
        <v>14</v>
      </c>
      <c r="F55" t="s">
        <v>53</v>
      </c>
      <c r="G55" t="s">
        <v>23</v>
      </c>
      <c r="H55" t="s">
        <v>24</v>
      </c>
      <c r="I55" t="s">
        <v>30</v>
      </c>
      <c r="J55" t="s">
        <v>31</v>
      </c>
      <c r="K55" t="s">
        <v>32</v>
      </c>
      <c r="L55">
        <v>2</v>
      </c>
      <c r="M55">
        <v>533.25</v>
      </c>
      <c r="N55">
        <v>0</v>
      </c>
      <c r="R55" s="21"/>
      <c r="U55" s="21"/>
      <c r="V55" s="21"/>
    </row>
    <row r="56" spans="1:22">
      <c r="A56">
        <v>10332</v>
      </c>
      <c r="B56">
        <v>1954</v>
      </c>
      <c r="C56" s="21">
        <v>44946</v>
      </c>
      <c r="D56" s="21">
        <v>44955</v>
      </c>
      <c r="E56" t="s">
        <v>14</v>
      </c>
      <c r="F56" t="s">
        <v>22</v>
      </c>
      <c r="G56" t="s">
        <v>16</v>
      </c>
      <c r="H56" t="s">
        <v>41</v>
      </c>
      <c r="I56" t="s">
        <v>56</v>
      </c>
      <c r="J56" t="s">
        <v>65</v>
      </c>
      <c r="K56" t="s">
        <v>20</v>
      </c>
      <c r="L56">
        <v>2</v>
      </c>
      <c r="M56">
        <v>1335.36</v>
      </c>
      <c r="N56">
        <v>5</v>
      </c>
      <c r="R56" s="21"/>
      <c r="U56" s="21"/>
      <c r="V56" s="21"/>
    </row>
    <row r="57" spans="1:22">
      <c r="A57">
        <v>10386</v>
      </c>
      <c r="B57">
        <v>1119</v>
      </c>
      <c r="C57" s="21">
        <v>45146</v>
      </c>
      <c r="D57" s="21">
        <v>45154</v>
      </c>
      <c r="E57" t="s">
        <v>14</v>
      </c>
      <c r="F57" t="s">
        <v>22</v>
      </c>
      <c r="G57" t="s">
        <v>23</v>
      </c>
      <c r="H57" t="s">
        <v>43</v>
      </c>
      <c r="I57" t="s">
        <v>48</v>
      </c>
      <c r="J57" t="s">
        <v>66</v>
      </c>
      <c r="K57" t="s">
        <v>27</v>
      </c>
      <c r="L57">
        <v>2</v>
      </c>
      <c r="M57">
        <v>1984.38</v>
      </c>
      <c r="N57">
        <v>10</v>
      </c>
      <c r="R57" s="21"/>
      <c r="U57" s="21"/>
      <c r="V57" s="21"/>
    </row>
    <row r="58" spans="1:22">
      <c r="A58">
        <v>10455</v>
      </c>
      <c r="B58">
        <v>1480</v>
      </c>
      <c r="C58" s="21">
        <v>45034</v>
      </c>
      <c r="D58" s="21">
        <v>45036</v>
      </c>
      <c r="E58" t="s">
        <v>14</v>
      </c>
      <c r="F58" t="s">
        <v>28</v>
      </c>
      <c r="G58" t="s">
        <v>16</v>
      </c>
      <c r="H58" t="s">
        <v>17</v>
      </c>
      <c r="I58" t="s">
        <v>51</v>
      </c>
      <c r="J58" t="s">
        <v>63</v>
      </c>
      <c r="K58" t="s">
        <v>44</v>
      </c>
      <c r="L58">
        <v>2</v>
      </c>
      <c r="M58">
        <v>1374.23</v>
      </c>
      <c r="N58">
        <v>0</v>
      </c>
      <c r="R58" s="21"/>
      <c r="U58" s="21"/>
      <c r="V58" s="21"/>
    </row>
    <row r="59" spans="1:22">
      <c r="A59">
        <v>10071</v>
      </c>
      <c r="B59">
        <v>1776</v>
      </c>
      <c r="C59" s="21">
        <v>45070</v>
      </c>
      <c r="D59" s="21">
        <v>45078</v>
      </c>
      <c r="E59" t="s">
        <v>14</v>
      </c>
      <c r="F59" t="s">
        <v>28</v>
      </c>
      <c r="G59" t="s">
        <v>16</v>
      </c>
      <c r="H59" t="s">
        <v>17</v>
      </c>
      <c r="I59" t="s">
        <v>25</v>
      </c>
      <c r="J59" t="s">
        <v>60</v>
      </c>
      <c r="K59" t="s">
        <v>46</v>
      </c>
      <c r="L59">
        <v>3</v>
      </c>
      <c r="M59">
        <v>3854.71</v>
      </c>
      <c r="N59">
        <v>5</v>
      </c>
      <c r="R59" s="21"/>
      <c r="U59" s="21"/>
      <c r="V59" s="21"/>
    </row>
    <row r="60" spans="1:22">
      <c r="A60">
        <v>10080</v>
      </c>
      <c r="B60">
        <v>1427</v>
      </c>
      <c r="C60" s="21">
        <v>45288</v>
      </c>
      <c r="D60" s="21">
        <v>45293</v>
      </c>
      <c r="E60" t="s">
        <v>14</v>
      </c>
      <c r="F60" t="s">
        <v>53</v>
      </c>
      <c r="G60" t="s">
        <v>16</v>
      </c>
      <c r="H60" t="s">
        <v>24</v>
      </c>
      <c r="I60" t="s">
        <v>51</v>
      </c>
      <c r="J60" t="s">
        <v>55</v>
      </c>
      <c r="K60" t="s">
        <v>27</v>
      </c>
      <c r="L60">
        <v>3</v>
      </c>
      <c r="M60">
        <v>262.25</v>
      </c>
      <c r="N60">
        <v>10</v>
      </c>
      <c r="R60" s="21"/>
      <c r="U60" s="21"/>
      <c r="V60" s="21"/>
    </row>
    <row r="61" spans="1:22">
      <c r="A61">
        <v>10173</v>
      </c>
      <c r="B61">
        <v>1960</v>
      </c>
      <c r="C61" s="21">
        <v>45124</v>
      </c>
      <c r="D61" s="21">
        <v>45127</v>
      </c>
      <c r="E61" t="s">
        <v>14</v>
      </c>
      <c r="F61" t="s">
        <v>37</v>
      </c>
      <c r="G61" t="s">
        <v>23</v>
      </c>
      <c r="H61" t="s">
        <v>41</v>
      </c>
      <c r="I61" t="s">
        <v>30</v>
      </c>
      <c r="J61" t="s">
        <v>64</v>
      </c>
      <c r="K61" t="s">
        <v>27</v>
      </c>
      <c r="L61">
        <v>3</v>
      </c>
      <c r="M61">
        <v>1357.77</v>
      </c>
      <c r="N61">
        <v>5</v>
      </c>
      <c r="R61" s="21"/>
      <c r="U61" s="21"/>
      <c r="V61" s="21"/>
    </row>
    <row r="62" spans="1:22">
      <c r="A62">
        <v>10200</v>
      </c>
      <c r="B62">
        <v>1095</v>
      </c>
      <c r="C62" s="21">
        <v>45171</v>
      </c>
      <c r="D62" s="21">
        <v>45176</v>
      </c>
      <c r="E62" t="s">
        <v>14</v>
      </c>
      <c r="F62" t="s">
        <v>28</v>
      </c>
      <c r="G62" t="s">
        <v>29</v>
      </c>
      <c r="H62" t="s">
        <v>43</v>
      </c>
      <c r="I62" t="s">
        <v>18</v>
      </c>
      <c r="J62" t="s">
        <v>68</v>
      </c>
      <c r="K62" t="s">
        <v>32</v>
      </c>
      <c r="L62">
        <v>3</v>
      </c>
      <c r="M62">
        <v>2701.77</v>
      </c>
      <c r="N62">
        <v>15</v>
      </c>
      <c r="R62" s="21"/>
      <c r="U62" s="21"/>
      <c r="V62" s="21"/>
    </row>
    <row r="63" spans="1:22">
      <c r="A63">
        <v>10435</v>
      </c>
      <c r="B63">
        <v>1469</v>
      </c>
      <c r="C63" s="21">
        <v>45002</v>
      </c>
      <c r="D63" s="21">
        <v>45009</v>
      </c>
      <c r="E63" t="s">
        <v>14</v>
      </c>
      <c r="F63" t="s">
        <v>28</v>
      </c>
      <c r="G63" t="s">
        <v>23</v>
      </c>
      <c r="H63" t="s">
        <v>43</v>
      </c>
      <c r="I63" t="s">
        <v>51</v>
      </c>
      <c r="J63" t="s">
        <v>55</v>
      </c>
      <c r="K63" t="s">
        <v>20</v>
      </c>
      <c r="L63">
        <v>3</v>
      </c>
      <c r="M63">
        <v>3644.78</v>
      </c>
      <c r="N63">
        <v>0</v>
      </c>
      <c r="R63" s="21"/>
      <c r="U63" s="21"/>
      <c r="V63" s="21"/>
    </row>
    <row r="64" spans="1:22">
      <c r="A64">
        <v>10436</v>
      </c>
      <c r="B64">
        <v>1374</v>
      </c>
      <c r="C64" s="21">
        <v>45212</v>
      </c>
      <c r="D64" s="21">
        <v>45213</v>
      </c>
      <c r="E64" t="s">
        <v>14</v>
      </c>
      <c r="F64" t="s">
        <v>22</v>
      </c>
      <c r="G64" t="s">
        <v>29</v>
      </c>
      <c r="H64" t="s">
        <v>17</v>
      </c>
      <c r="I64" t="s">
        <v>51</v>
      </c>
      <c r="J64" t="s">
        <v>59</v>
      </c>
      <c r="K64" t="s">
        <v>20</v>
      </c>
      <c r="L64">
        <v>3</v>
      </c>
      <c r="M64">
        <v>3986.78</v>
      </c>
      <c r="N64">
        <v>20</v>
      </c>
      <c r="R64" s="21"/>
      <c r="U64" s="21"/>
      <c r="V64" s="21"/>
    </row>
    <row r="65" spans="1:22">
      <c r="A65">
        <v>10032</v>
      </c>
      <c r="B65">
        <v>1160</v>
      </c>
      <c r="C65" s="21">
        <v>45150</v>
      </c>
      <c r="D65" s="21">
        <v>45158</v>
      </c>
      <c r="E65" t="s">
        <v>14</v>
      </c>
      <c r="F65" t="s">
        <v>40</v>
      </c>
      <c r="G65" t="s">
        <v>29</v>
      </c>
      <c r="H65" t="s">
        <v>17</v>
      </c>
      <c r="I65" t="s">
        <v>18</v>
      </c>
      <c r="J65" t="s">
        <v>42</v>
      </c>
      <c r="K65" t="s">
        <v>20</v>
      </c>
      <c r="L65">
        <v>4</v>
      </c>
      <c r="M65">
        <v>750.74</v>
      </c>
      <c r="N65">
        <v>5</v>
      </c>
      <c r="R65" s="21"/>
      <c r="U65" s="21"/>
      <c r="V65" s="21"/>
    </row>
    <row r="66" spans="1:22">
      <c r="A66">
        <v>10042</v>
      </c>
      <c r="B66">
        <v>1510</v>
      </c>
      <c r="C66" s="21">
        <v>45195</v>
      </c>
      <c r="D66" s="21">
        <v>45204</v>
      </c>
      <c r="E66" t="s">
        <v>14</v>
      </c>
      <c r="F66" t="s">
        <v>53</v>
      </c>
      <c r="G66" t="s">
        <v>23</v>
      </c>
      <c r="H66" t="s">
        <v>34</v>
      </c>
      <c r="I66" t="s">
        <v>25</v>
      </c>
      <c r="J66" t="s">
        <v>26</v>
      </c>
      <c r="K66" t="s">
        <v>32</v>
      </c>
      <c r="L66">
        <v>4</v>
      </c>
      <c r="M66">
        <v>1211.67</v>
      </c>
      <c r="N66">
        <v>20</v>
      </c>
      <c r="R66" s="21"/>
      <c r="U66" s="21"/>
      <c r="V66" s="21"/>
    </row>
    <row r="67" spans="1:22">
      <c r="A67">
        <v>10264</v>
      </c>
      <c r="B67">
        <v>1607</v>
      </c>
      <c r="C67" s="21">
        <v>45086</v>
      </c>
      <c r="D67" s="21">
        <v>45091</v>
      </c>
      <c r="E67" t="s">
        <v>14</v>
      </c>
      <c r="F67" t="s">
        <v>15</v>
      </c>
      <c r="G67" t="s">
        <v>29</v>
      </c>
      <c r="H67" t="s">
        <v>43</v>
      </c>
      <c r="I67" t="s">
        <v>51</v>
      </c>
      <c r="J67" t="s">
        <v>59</v>
      </c>
      <c r="K67" t="s">
        <v>46</v>
      </c>
      <c r="L67">
        <v>4</v>
      </c>
      <c r="M67">
        <v>1126.3</v>
      </c>
      <c r="N67">
        <v>20</v>
      </c>
      <c r="R67" s="21"/>
      <c r="U67" s="21"/>
      <c r="V67" s="21"/>
    </row>
    <row r="68" spans="1:22">
      <c r="A68">
        <v>10307</v>
      </c>
      <c r="B68">
        <v>1183</v>
      </c>
      <c r="C68" s="21">
        <v>45267</v>
      </c>
      <c r="D68" s="21">
        <v>45273</v>
      </c>
      <c r="E68" t="s">
        <v>14</v>
      </c>
      <c r="F68" t="s">
        <v>15</v>
      </c>
      <c r="G68" t="s">
        <v>23</v>
      </c>
      <c r="H68" t="s">
        <v>41</v>
      </c>
      <c r="I68" t="s">
        <v>56</v>
      </c>
      <c r="J68" t="s">
        <v>57</v>
      </c>
      <c r="K68" t="s">
        <v>27</v>
      </c>
      <c r="L68">
        <v>4</v>
      </c>
      <c r="M68">
        <v>2008.45</v>
      </c>
      <c r="N68">
        <v>5</v>
      </c>
      <c r="R68" s="21"/>
      <c r="U68" s="21"/>
      <c r="V68" s="21"/>
    </row>
    <row r="69" spans="1:22">
      <c r="A69">
        <v>10339</v>
      </c>
      <c r="B69">
        <v>1147</v>
      </c>
      <c r="C69" s="21">
        <v>45005</v>
      </c>
      <c r="D69" s="21">
        <v>45012</v>
      </c>
      <c r="E69" t="s">
        <v>14</v>
      </c>
      <c r="F69" t="s">
        <v>53</v>
      </c>
      <c r="G69" t="s">
        <v>16</v>
      </c>
      <c r="H69" t="s">
        <v>24</v>
      </c>
      <c r="I69" t="s">
        <v>30</v>
      </c>
      <c r="J69" t="s">
        <v>31</v>
      </c>
      <c r="K69" t="s">
        <v>20</v>
      </c>
      <c r="L69">
        <v>4</v>
      </c>
      <c r="M69">
        <v>3708.51</v>
      </c>
      <c r="N69">
        <v>5</v>
      </c>
      <c r="U69" s="21"/>
      <c r="V69" s="21"/>
    </row>
    <row r="70" spans="1:22">
      <c r="A70">
        <v>10347</v>
      </c>
      <c r="B70">
        <v>1550</v>
      </c>
      <c r="C70" s="21">
        <v>44952</v>
      </c>
      <c r="D70" s="21">
        <v>44954</v>
      </c>
      <c r="E70" t="s">
        <v>14</v>
      </c>
      <c r="F70" t="s">
        <v>28</v>
      </c>
      <c r="G70" t="s">
        <v>23</v>
      </c>
      <c r="H70" t="s">
        <v>43</v>
      </c>
      <c r="I70" t="s">
        <v>18</v>
      </c>
      <c r="J70" t="s">
        <v>19</v>
      </c>
      <c r="K70" t="s">
        <v>44</v>
      </c>
      <c r="L70">
        <v>4</v>
      </c>
      <c r="M70">
        <v>640.37</v>
      </c>
      <c r="N70">
        <v>20</v>
      </c>
      <c r="U70" s="21"/>
      <c r="V70" s="21"/>
    </row>
    <row r="71" spans="1:22">
      <c r="A71">
        <v>10009</v>
      </c>
      <c r="B71">
        <v>1614</v>
      </c>
      <c r="C71" s="21">
        <v>45204</v>
      </c>
      <c r="D71" s="21">
        <v>45213</v>
      </c>
      <c r="E71" t="s">
        <v>14</v>
      </c>
      <c r="F71" t="s">
        <v>28</v>
      </c>
      <c r="G71" t="s">
        <v>23</v>
      </c>
      <c r="H71" t="s">
        <v>24</v>
      </c>
      <c r="I71" t="s">
        <v>30</v>
      </c>
      <c r="J71" t="s">
        <v>47</v>
      </c>
      <c r="K71" t="s">
        <v>27</v>
      </c>
      <c r="L71">
        <v>5</v>
      </c>
      <c r="M71">
        <v>1098.04</v>
      </c>
      <c r="N71">
        <v>15</v>
      </c>
      <c r="U71" s="21"/>
      <c r="V71" s="21"/>
    </row>
    <row r="72" spans="1:22">
      <c r="A72">
        <v>10031</v>
      </c>
      <c r="B72">
        <v>1276</v>
      </c>
      <c r="C72" s="21">
        <v>45162</v>
      </c>
      <c r="D72" s="21">
        <v>45166</v>
      </c>
      <c r="E72" t="s">
        <v>14</v>
      </c>
      <c r="F72" t="s">
        <v>28</v>
      </c>
      <c r="G72" t="s">
        <v>29</v>
      </c>
      <c r="H72" t="s">
        <v>41</v>
      </c>
      <c r="I72" t="s">
        <v>56</v>
      </c>
      <c r="J72" t="s">
        <v>61</v>
      </c>
      <c r="K72" t="s">
        <v>46</v>
      </c>
      <c r="L72">
        <v>5</v>
      </c>
      <c r="M72">
        <v>2295.65</v>
      </c>
      <c r="N72">
        <v>20</v>
      </c>
      <c r="U72" s="21"/>
      <c r="V72" s="21"/>
    </row>
    <row r="73" spans="1:22">
      <c r="A73">
        <v>10181</v>
      </c>
      <c r="B73">
        <v>1217</v>
      </c>
      <c r="C73" s="21">
        <v>45050</v>
      </c>
      <c r="D73" s="21">
        <v>45053</v>
      </c>
      <c r="E73" t="s">
        <v>14</v>
      </c>
      <c r="F73" t="s">
        <v>22</v>
      </c>
      <c r="G73" t="s">
        <v>16</v>
      </c>
      <c r="H73" t="s">
        <v>41</v>
      </c>
      <c r="I73" t="s">
        <v>48</v>
      </c>
      <c r="J73" t="s">
        <v>49</v>
      </c>
      <c r="K73" t="s">
        <v>32</v>
      </c>
      <c r="L73">
        <v>5</v>
      </c>
      <c r="M73">
        <v>2329.38</v>
      </c>
      <c r="N73">
        <v>20</v>
      </c>
      <c r="U73" s="21"/>
      <c r="V73" s="21"/>
    </row>
    <row r="74" spans="1:22">
      <c r="A74">
        <v>10201</v>
      </c>
      <c r="B74">
        <v>1899</v>
      </c>
      <c r="C74" s="21">
        <v>44961</v>
      </c>
      <c r="D74" s="21">
        <v>44966</v>
      </c>
      <c r="E74" t="s">
        <v>14</v>
      </c>
      <c r="F74" t="s">
        <v>28</v>
      </c>
      <c r="G74" t="s">
        <v>29</v>
      </c>
      <c r="H74" t="s">
        <v>41</v>
      </c>
      <c r="I74" t="s">
        <v>56</v>
      </c>
      <c r="J74" t="s">
        <v>58</v>
      </c>
      <c r="K74" t="s">
        <v>27</v>
      </c>
      <c r="L74">
        <v>5</v>
      </c>
      <c r="M74">
        <v>3501.94</v>
      </c>
      <c r="N74">
        <v>20</v>
      </c>
      <c r="U74" s="21"/>
      <c r="V74" s="21"/>
    </row>
    <row r="75" spans="1:22">
      <c r="A75">
        <v>10215</v>
      </c>
      <c r="B75">
        <v>1242</v>
      </c>
      <c r="C75" s="21">
        <v>45157</v>
      </c>
      <c r="D75" s="21">
        <v>45162</v>
      </c>
      <c r="E75" t="s">
        <v>14</v>
      </c>
      <c r="F75" t="s">
        <v>15</v>
      </c>
      <c r="G75" t="s">
        <v>16</v>
      </c>
      <c r="H75" t="s">
        <v>24</v>
      </c>
      <c r="I75" t="s">
        <v>25</v>
      </c>
      <c r="J75" t="s">
        <v>26</v>
      </c>
      <c r="K75" t="s">
        <v>20</v>
      </c>
      <c r="L75">
        <v>5</v>
      </c>
      <c r="M75">
        <v>633.42999999999995</v>
      </c>
      <c r="N75">
        <v>20</v>
      </c>
      <c r="U75" s="21"/>
      <c r="V75" s="21"/>
    </row>
    <row r="76" spans="1:22">
      <c r="A76">
        <v>10269</v>
      </c>
      <c r="B76">
        <v>1829</v>
      </c>
      <c r="C76" s="21">
        <v>45125</v>
      </c>
      <c r="D76" s="21">
        <v>45132</v>
      </c>
      <c r="E76" t="s">
        <v>14</v>
      </c>
      <c r="F76" t="s">
        <v>40</v>
      </c>
      <c r="G76" t="s">
        <v>23</v>
      </c>
      <c r="H76" t="s">
        <v>34</v>
      </c>
      <c r="I76" t="s">
        <v>48</v>
      </c>
      <c r="J76" t="s">
        <v>50</v>
      </c>
      <c r="K76" t="s">
        <v>46</v>
      </c>
      <c r="L76">
        <v>5</v>
      </c>
      <c r="M76">
        <v>3156.54</v>
      </c>
      <c r="N76">
        <v>20</v>
      </c>
      <c r="U76" s="21"/>
      <c r="V76" s="21"/>
    </row>
    <row r="77" spans="1:22">
      <c r="A77">
        <v>10322</v>
      </c>
      <c r="B77">
        <v>1608</v>
      </c>
      <c r="C77" s="21">
        <v>45220</v>
      </c>
      <c r="D77" s="21">
        <v>45222</v>
      </c>
      <c r="E77" t="s">
        <v>14</v>
      </c>
      <c r="F77" t="s">
        <v>53</v>
      </c>
      <c r="G77" t="s">
        <v>29</v>
      </c>
      <c r="H77" t="s">
        <v>34</v>
      </c>
      <c r="I77" t="s">
        <v>25</v>
      </c>
      <c r="J77" t="s">
        <v>60</v>
      </c>
      <c r="K77" t="s">
        <v>27</v>
      </c>
      <c r="L77">
        <v>5</v>
      </c>
      <c r="M77">
        <v>640.82000000000005</v>
      </c>
      <c r="N77">
        <v>0</v>
      </c>
      <c r="U77" s="21"/>
      <c r="V77" s="21"/>
    </row>
    <row r="78" spans="1:22">
      <c r="A78">
        <v>10342</v>
      </c>
      <c r="B78">
        <v>1819</v>
      </c>
      <c r="C78" s="21">
        <v>45018</v>
      </c>
      <c r="D78" s="21">
        <v>45019</v>
      </c>
      <c r="E78" t="s">
        <v>14</v>
      </c>
      <c r="F78" t="s">
        <v>53</v>
      </c>
      <c r="G78" t="s">
        <v>16</v>
      </c>
      <c r="H78" t="s">
        <v>34</v>
      </c>
      <c r="I78" t="s">
        <v>25</v>
      </c>
      <c r="J78" t="s">
        <v>26</v>
      </c>
      <c r="K78" t="s">
        <v>46</v>
      </c>
      <c r="L78">
        <v>5</v>
      </c>
      <c r="M78">
        <v>1853.11</v>
      </c>
      <c r="N78">
        <v>10</v>
      </c>
      <c r="U78" s="21"/>
      <c r="V78" s="21"/>
    </row>
    <row r="79" spans="1:22">
      <c r="A79">
        <v>10366</v>
      </c>
      <c r="B79">
        <v>1571</v>
      </c>
      <c r="C79" s="21">
        <v>45223</v>
      </c>
      <c r="D79" s="21">
        <v>45226</v>
      </c>
      <c r="E79" t="s">
        <v>14</v>
      </c>
      <c r="F79" t="s">
        <v>15</v>
      </c>
      <c r="G79" t="s">
        <v>23</v>
      </c>
      <c r="H79" t="s">
        <v>41</v>
      </c>
      <c r="I79" t="s">
        <v>48</v>
      </c>
      <c r="J79" t="s">
        <v>62</v>
      </c>
      <c r="K79" t="s">
        <v>20</v>
      </c>
      <c r="L79">
        <v>5</v>
      </c>
      <c r="M79">
        <v>3320.88</v>
      </c>
      <c r="N79">
        <v>0</v>
      </c>
      <c r="U79" s="21"/>
      <c r="V79" s="21"/>
    </row>
    <row r="80" spans="1:22">
      <c r="A80">
        <v>10472</v>
      </c>
      <c r="B80">
        <v>1517</v>
      </c>
      <c r="C80" s="21">
        <v>45269</v>
      </c>
      <c r="D80" s="21">
        <v>45278</v>
      </c>
      <c r="E80" t="s">
        <v>14</v>
      </c>
      <c r="F80" t="s">
        <v>53</v>
      </c>
      <c r="G80" t="s">
        <v>29</v>
      </c>
      <c r="H80" t="s">
        <v>34</v>
      </c>
      <c r="I80" t="s">
        <v>30</v>
      </c>
      <c r="J80" t="s">
        <v>47</v>
      </c>
      <c r="K80" t="s">
        <v>27</v>
      </c>
      <c r="L80">
        <v>5</v>
      </c>
      <c r="M80">
        <v>2523.25</v>
      </c>
      <c r="N80">
        <v>10</v>
      </c>
      <c r="U80" s="21"/>
      <c r="V80" s="21"/>
    </row>
    <row r="81" spans="1:22">
      <c r="A81">
        <v>10003</v>
      </c>
      <c r="B81">
        <v>1860</v>
      </c>
      <c r="C81" s="21">
        <v>45109</v>
      </c>
      <c r="D81" s="21">
        <v>45114</v>
      </c>
      <c r="E81" t="s">
        <v>14</v>
      </c>
      <c r="F81" t="s">
        <v>28</v>
      </c>
      <c r="G81" t="s">
        <v>29</v>
      </c>
      <c r="H81" t="s">
        <v>24</v>
      </c>
      <c r="I81" t="s">
        <v>30</v>
      </c>
      <c r="J81" t="s">
        <v>31</v>
      </c>
      <c r="K81" t="s">
        <v>32</v>
      </c>
      <c r="L81">
        <v>6</v>
      </c>
      <c r="M81">
        <v>3474.34</v>
      </c>
      <c r="N81">
        <v>15</v>
      </c>
      <c r="U81" s="21"/>
      <c r="V81" s="21"/>
    </row>
    <row r="82" spans="1:22">
      <c r="A82">
        <v>10040</v>
      </c>
      <c r="B82">
        <v>1474</v>
      </c>
      <c r="C82" s="21">
        <v>45274</v>
      </c>
      <c r="D82" s="21">
        <v>45277</v>
      </c>
      <c r="E82" t="s">
        <v>14</v>
      </c>
      <c r="F82" t="s">
        <v>15</v>
      </c>
      <c r="G82" t="s">
        <v>29</v>
      </c>
      <c r="H82" t="s">
        <v>34</v>
      </c>
      <c r="I82" t="s">
        <v>25</v>
      </c>
      <c r="J82" t="s">
        <v>26</v>
      </c>
      <c r="K82" t="s">
        <v>27</v>
      </c>
      <c r="L82">
        <v>6</v>
      </c>
      <c r="M82">
        <v>3083.25</v>
      </c>
      <c r="N82">
        <v>10</v>
      </c>
      <c r="U82" s="21"/>
      <c r="V82" s="21"/>
    </row>
    <row r="83" spans="1:22">
      <c r="A83">
        <v>10069</v>
      </c>
      <c r="B83">
        <v>1013</v>
      </c>
      <c r="C83" s="21">
        <v>45288</v>
      </c>
      <c r="D83" s="21">
        <v>45296</v>
      </c>
      <c r="E83" t="s">
        <v>14</v>
      </c>
      <c r="F83" t="s">
        <v>22</v>
      </c>
      <c r="G83" t="s">
        <v>16</v>
      </c>
      <c r="H83" t="s">
        <v>43</v>
      </c>
      <c r="I83" t="s">
        <v>56</v>
      </c>
      <c r="J83" t="s">
        <v>61</v>
      </c>
      <c r="K83" t="s">
        <v>32</v>
      </c>
      <c r="L83">
        <v>6</v>
      </c>
      <c r="M83">
        <v>1836.98</v>
      </c>
      <c r="N83">
        <v>5</v>
      </c>
      <c r="U83" s="21"/>
      <c r="V83" s="21"/>
    </row>
    <row r="84" spans="1:22">
      <c r="A84">
        <v>10286</v>
      </c>
      <c r="B84">
        <v>1641</v>
      </c>
      <c r="C84" s="21">
        <v>45043</v>
      </c>
      <c r="D84" s="21">
        <v>45050</v>
      </c>
      <c r="E84" t="s">
        <v>14</v>
      </c>
      <c r="F84" t="s">
        <v>28</v>
      </c>
      <c r="G84" t="s">
        <v>16</v>
      </c>
      <c r="H84" t="s">
        <v>43</v>
      </c>
      <c r="I84" t="s">
        <v>56</v>
      </c>
      <c r="J84" t="s">
        <v>57</v>
      </c>
      <c r="K84" t="s">
        <v>27</v>
      </c>
      <c r="L84">
        <v>6</v>
      </c>
      <c r="M84">
        <v>220.79</v>
      </c>
      <c r="N84">
        <v>5</v>
      </c>
      <c r="U84" s="21"/>
      <c r="V84" s="21"/>
    </row>
    <row r="85" spans="1:22">
      <c r="A85">
        <v>10496</v>
      </c>
      <c r="B85">
        <v>1017</v>
      </c>
      <c r="C85" s="21">
        <v>45177</v>
      </c>
      <c r="D85" s="21">
        <v>45178</v>
      </c>
      <c r="E85" t="s">
        <v>14</v>
      </c>
      <c r="F85" t="s">
        <v>22</v>
      </c>
      <c r="G85" t="s">
        <v>16</v>
      </c>
      <c r="H85" t="s">
        <v>41</v>
      </c>
      <c r="I85" t="s">
        <v>51</v>
      </c>
      <c r="J85" t="s">
        <v>59</v>
      </c>
      <c r="K85" t="s">
        <v>44</v>
      </c>
      <c r="L85">
        <v>6</v>
      </c>
      <c r="M85">
        <v>1128.9100000000001</v>
      </c>
      <c r="N85">
        <v>20</v>
      </c>
      <c r="U85" s="21"/>
      <c r="V85" s="21"/>
    </row>
    <row r="86" spans="1:22">
      <c r="A86">
        <v>10001</v>
      </c>
      <c r="B86">
        <v>1102</v>
      </c>
      <c r="C86" s="21">
        <v>45197</v>
      </c>
      <c r="D86" s="21">
        <v>45203</v>
      </c>
      <c r="E86" t="s">
        <v>14</v>
      </c>
      <c r="F86" t="s">
        <v>15</v>
      </c>
      <c r="G86" t="s">
        <v>16</v>
      </c>
      <c r="H86" t="s">
        <v>17</v>
      </c>
      <c r="I86" t="s">
        <v>18</v>
      </c>
      <c r="J86" t="s">
        <v>19</v>
      </c>
      <c r="K86" t="s">
        <v>20</v>
      </c>
      <c r="L86">
        <v>7</v>
      </c>
      <c r="M86">
        <v>2843.87</v>
      </c>
      <c r="N86">
        <v>0</v>
      </c>
      <c r="U86" s="21"/>
      <c r="V86" s="21"/>
    </row>
    <row r="87" spans="1:22">
      <c r="A87">
        <v>10183</v>
      </c>
      <c r="B87">
        <v>1766</v>
      </c>
      <c r="C87" s="21">
        <v>45285</v>
      </c>
      <c r="D87" s="21">
        <v>45294</v>
      </c>
      <c r="E87" t="s">
        <v>14</v>
      </c>
      <c r="F87" t="s">
        <v>22</v>
      </c>
      <c r="G87" t="s">
        <v>29</v>
      </c>
      <c r="H87" t="s">
        <v>17</v>
      </c>
      <c r="I87" t="s">
        <v>30</v>
      </c>
      <c r="J87" t="s">
        <v>38</v>
      </c>
      <c r="K87" t="s">
        <v>46</v>
      </c>
      <c r="L87">
        <v>7</v>
      </c>
      <c r="M87">
        <v>658.07</v>
      </c>
      <c r="N87">
        <v>20</v>
      </c>
      <c r="U87" s="21"/>
      <c r="V87" s="21"/>
    </row>
    <row r="88" spans="1:22">
      <c r="A88">
        <v>10247</v>
      </c>
      <c r="B88">
        <v>1258</v>
      </c>
      <c r="C88" s="21">
        <v>44996</v>
      </c>
      <c r="D88" s="21">
        <v>44998</v>
      </c>
      <c r="E88" t="s">
        <v>14</v>
      </c>
      <c r="F88" t="s">
        <v>53</v>
      </c>
      <c r="G88" t="s">
        <v>29</v>
      </c>
      <c r="H88" t="s">
        <v>34</v>
      </c>
      <c r="I88" t="s">
        <v>51</v>
      </c>
      <c r="J88" t="s">
        <v>63</v>
      </c>
      <c r="K88" t="s">
        <v>46</v>
      </c>
      <c r="L88">
        <v>7</v>
      </c>
      <c r="M88">
        <v>2102.27</v>
      </c>
      <c r="N88">
        <v>20</v>
      </c>
      <c r="U88" s="21"/>
      <c r="V88" s="21"/>
    </row>
    <row r="89" spans="1:22">
      <c r="A89">
        <v>10262</v>
      </c>
      <c r="B89">
        <v>1373</v>
      </c>
      <c r="C89" s="21">
        <v>44996</v>
      </c>
      <c r="D89" s="21">
        <v>44998</v>
      </c>
      <c r="E89" t="s">
        <v>14</v>
      </c>
      <c r="F89" t="s">
        <v>22</v>
      </c>
      <c r="G89" t="s">
        <v>16</v>
      </c>
      <c r="H89" t="s">
        <v>43</v>
      </c>
      <c r="I89" t="s">
        <v>56</v>
      </c>
      <c r="J89" t="s">
        <v>58</v>
      </c>
      <c r="K89" t="s">
        <v>20</v>
      </c>
      <c r="L89">
        <v>7</v>
      </c>
      <c r="M89">
        <v>2472.29</v>
      </c>
      <c r="N89">
        <v>10</v>
      </c>
      <c r="U89" s="21"/>
      <c r="V89" s="21"/>
    </row>
    <row r="90" spans="1:22">
      <c r="A90">
        <v>10318</v>
      </c>
      <c r="B90">
        <v>1906</v>
      </c>
      <c r="C90" s="21">
        <v>45093</v>
      </c>
      <c r="D90" s="21">
        <v>45097</v>
      </c>
      <c r="E90" t="s">
        <v>14</v>
      </c>
      <c r="F90" t="s">
        <v>22</v>
      </c>
      <c r="G90" t="s">
        <v>29</v>
      </c>
      <c r="H90" t="s">
        <v>34</v>
      </c>
      <c r="I90" t="s">
        <v>48</v>
      </c>
      <c r="J90" t="s">
        <v>66</v>
      </c>
      <c r="K90" t="s">
        <v>20</v>
      </c>
      <c r="L90">
        <v>7</v>
      </c>
      <c r="M90">
        <v>245.03</v>
      </c>
      <c r="N90">
        <v>0</v>
      </c>
      <c r="U90" s="21"/>
      <c r="V90" s="21"/>
    </row>
    <row r="91" spans="1:22">
      <c r="A91">
        <v>10490</v>
      </c>
      <c r="B91">
        <v>1927</v>
      </c>
      <c r="C91" s="21">
        <v>45259</v>
      </c>
      <c r="D91" s="21">
        <v>45261</v>
      </c>
      <c r="E91" t="s">
        <v>14</v>
      </c>
      <c r="F91" t="s">
        <v>28</v>
      </c>
      <c r="G91" t="s">
        <v>16</v>
      </c>
      <c r="H91" t="s">
        <v>34</v>
      </c>
      <c r="I91" t="s">
        <v>30</v>
      </c>
      <c r="J91" t="s">
        <v>31</v>
      </c>
      <c r="K91" t="s">
        <v>44</v>
      </c>
      <c r="L91">
        <v>7</v>
      </c>
      <c r="M91">
        <v>2838.06</v>
      </c>
      <c r="N91">
        <v>20</v>
      </c>
      <c r="U91" s="21"/>
      <c r="V91" s="21"/>
    </row>
    <row r="92" spans="1:22">
      <c r="A92">
        <v>10066</v>
      </c>
      <c r="B92">
        <v>1387</v>
      </c>
      <c r="C92" s="21">
        <v>45155</v>
      </c>
      <c r="D92" s="21">
        <v>45158</v>
      </c>
      <c r="E92" t="s">
        <v>14</v>
      </c>
      <c r="F92" t="s">
        <v>22</v>
      </c>
      <c r="G92" t="s">
        <v>16</v>
      </c>
      <c r="H92" t="s">
        <v>34</v>
      </c>
      <c r="I92" t="s">
        <v>56</v>
      </c>
      <c r="J92" t="s">
        <v>65</v>
      </c>
      <c r="K92" t="s">
        <v>44</v>
      </c>
      <c r="L92">
        <v>8</v>
      </c>
      <c r="M92">
        <v>3769.71</v>
      </c>
      <c r="N92">
        <v>5</v>
      </c>
      <c r="U92" s="21"/>
      <c r="V92" s="21"/>
    </row>
    <row r="93" spans="1:22">
      <c r="A93">
        <v>10171</v>
      </c>
      <c r="B93">
        <v>1986</v>
      </c>
      <c r="C93" s="21">
        <v>45227</v>
      </c>
      <c r="D93" s="21">
        <v>45228</v>
      </c>
      <c r="E93" t="s">
        <v>14</v>
      </c>
      <c r="F93" t="s">
        <v>40</v>
      </c>
      <c r="G93" t="s">
        <v>23</v>
      </c>
      <c r="H93" t="s">
        <v>17</v>
      </c>
      <c r="I93" t="s">
        <v>18</v>
      </c>
      <c r="J93" t="s">
        <v>42</v>
      </c>
      <c r="K93" t="s">
        <v>20</v>
      </c>
      <c r="L93">
        <v>8</v>
      </c>
      <c r="M93">
        <v>3795.01</v>
      </c>
      <c r="N93">
        <v>5</v>
      </c>
      <c r="U93" s="21"/>
      <c r="V93" s="21"/>
    </row>
    <row r="94" spans="1:22">
      <c r="A94">
        <v>10180</v>
      </c>
      <c r="B94">
        <v>1004</v>
      </c>
      <c r="C94" s="21">
        <v>45004</v>
      </c>
      <c r="D94" s="21">
        <v>45006</v>
      </c>
      <c r="E94" t="s">
        <v>14</v>
      </c>
      <c r="F94" t="s">
        <v>28</v>
      </c>
      <c r="G94" t="s">
        <v>16</v>
      </c>
      <c r="H94" t="s">
        <v>34</v>
      </c>
      <c r="I94" t="s">
        <v>18</v>
      </c>
      <c r="J94" t="s">
        <v>42</v>
      </c>
      <c r="K94" t="s">
        <v>44</v>
      </c>
      <c r="L94">
        <v>8</v>
      </c>
      <c r="M94">
        <v>2211.17</v>
      </c>
      <c r="N94">
        <v>10</v>
      </c>
      <c r="U94" s="21"/>
      <c r="V94" s="21"/>
    </row>
    <row r="95" spans="1:22">
      <c r="A95">
        <v>10210</v>
      </c>
      <c r="B95">
        <v>1035</v>
      </c>
      <c r="C95" s="21">
        <v>45282</v>
      </c>
      <c r="D95" s="21">
        <v>45284</v>
      </c>
      <c r="E95" t="s">
        <v>14</v>
      </c>
      <c r="F95" t="s">
        <v>53</v>
      </c>
      <c r="G95" t="s">
        <v>29</v>
      </c>
      <c r="H95" t="s">
        <v>17</v>
      </c>
      <c r="I95" t="s">
        <v>18</v>
      </c>
      <c r="J95" t="s">
        <v>19</v>
      </c>
      <c r="K95" t="s">
        <v>44</v>
      </c>
      <c r="L95">
        <v>8</v>
      </c>
      <c r="M95">
        <v>3656.59</v>
      </c>
      <c r="N95">
        <v>15</v>
      </c>
      <c r="U95" s="21"/>
      <c r="V95" s="21"/>
    </row>
    <row r="96" spans="1:22">
      <c r="A96">
        <v>10245</v>
      </c>
      <c r="B96">
        <v>1972</v>
      </c>
      <c r="C96" s="21">
        <v>45143</v>
      </c>
      <c r="D96" s="21">
        <v>45148</v>
      </c>
      <c r="E96" t="s">
        <v>14</v>
      </c>
      <c r="F96" t="s">
        <v>15</v>
      </c>
      <c r="G96" t="s">
        <v>29</v>
      </c>
      <c r="H96" t="s">
        <v>41</v>
      </c>
      <c r="I96" t="s">
        <v>48</v>
      </c>
      <c r="J96" t="s">
        <v>50</v>
      </c>
      <c r="K96" t="s">
        <v>46</v>
      </c>
      <c r="L96">
        <v>8</v>
      </c>
      <c r="M96">
        <v>1504.45</v>
      </c>
      <c r="N96">
        <v>20</v>
      </c>
      <c r="U96" s="21"/>
      <c r="V96" s="21"/>
    </row>
    <row r="97" spans="1:22">
      <c r="A97">
        <v>10320</v>
      </c>
      <c r="B97">
        <v>1751</v>
      </c>
      <c r="C97" s="21">
        <v>45002</v>
      </c>
      <c r="D97" s="21">
        <v>45005</v>
      </c>
      <c r="E97" t="s">
        <v>14</v>
      </c>
      <c r="F97" t="s">
        <v>15</v>
      </c>
      <c r="G97" t="s">
        <v>16</v>
      </c>
      <c r="H97" t="s">
        <v>34</v>
      </c>
      <c r="I97" t="s">
        <v>25</v>
      </c>
      <c r="J97" t="s">
        <v>35</v>
      </c>
      <c r="K97" t="s">
        <v>27</v>
      </c>
      <c r="L97">
        <v>8</v>
      </c>
      <c r="M97">
        <v>2254.7800000000002</v>
      </c>
      <c r="N97">
        <v>0</v>
      </c>
      <c r="U97" s="21"/>
      <c r="V97" s="21"/>
    </row>
    <row r="98" spans="1:22">
      <c r="A98">
        <v>10358</v>
      </c>
      <c r="B98">
        <v>1989</v>
      </c>
      <c r="C98" s="21">
        <v>45015</v>
      </c>
      <c r="D98" s="21">
        <v>45019</v>
      </c>
      <c r="E98" t="s">
        <v>14</v>
      </c>
      <c r="F98" t="s">
        <v>28</v>
      </c>
      <c r="G98" t="s">
        <v>29</v>
      </c>
      <c r="H98" t="s">
        <v>34</v>
      </c>
      <c r="I98" t="s">
        <v>56</v>
      </c>
      <c r="J98" t="s">
        <v>57</v>
      </c>
      <c r="K98" t="s">
        <v>32</v>
      </c>
      <c r="L98">
        <v>8</v>
      </c>
      <c r="M98">
        <v>3581.12</v>
      </c>
      <c r="N98">
        <v>15</v>
      </c>
      <c r="U98" s="21"/>
      <c r="V98" s="21"/>
    </row>
    <row r="99" spans="1:22">
      <c r="A99">
        <v>10495</v>
      </c>
      <c r="B99">
        <v>1127</v>
      </c>
      <c r="C99" s="21">
        <v>45060</v>
      </c>
      <c r="D99" s="21">
        <v>45063</v>
      </c>
      <c r="E99" t="s">
        <v>14</v>
      </c>
      <c r="F99" t="s">
        <v>22</v>
      </c>
      <c r="G99" t="s">
        <v>29</v>
      </c>
      <c r="H99" t="s">
        <v>24</v>
      </c>
      <c r="I99" t="s">
        <v>56</v>
      </c>
      <c r="J99" t="s">
        <v>58</v>
      </c>
      <c r="K99" t="s">
        <v>44</v>
      </c>
      <c r="L99">
        <v>8</v>
      </c>
      <c r="M99">
        <v>598.44000000000005</v>
      </c>
      <c r="N99">
        <v>0</v>
      </c>
      <c r="U99" s="21"/>
      <c r="V99" s="21"/>
    </row>
    <row r="100" spans="1:22">
      <c r="A100">
        <v>10291</v>
      </c>
      <c r="B100">
        <v>1735</v>
      </c>
      <c r="C100" s="21">
        <v>45007</v>
      </c>
      <c r="D100" s="21">
        <v>45008</v>
      </c>
      <c r="E100" t="s">
        <v>14</v>
      </c>
      <c r="F100" t="s">
        <v>53</v>
      </c>
      <c r="G100" t="s">
        <v>23</v>
      </c>
      <c r="H100" t="s">
        <v>24</v>
      </c>
      <c r="I100" t="s">
        <v>51</v>
      </c>
      <c r="J100" t="s">
        <v>52</v>
      </c>
      <c r="K100" t="s">
        <v>32</v>
      </c>
      <c r="L100">
        <v>9</v>
      </c>
      <c r="M100">
        <v>2661.11</v>
      </c>
      <c r="N100">
        <v>10</v>
      </c>
      <c r="U100" s="21"/>
      <c r="V100" s="21"/>
    </row>
    <row r="101" spans="1:22">
      <c r="A101">
        <v>10442</v>
      </c>
      <c r="B101">
        <v>1364</v>
      </c>
      <c r="C101" s="21">
        <v>45089</v>
      </c>
      <c r="D101" s="21">
        <v>45094</v>
      </c>
      <c r="E101" t="s">
        <v>14</v>
      </c>
      <c r="F101" t="s">
        <v>22</v>
      </c>
      <c r="G101" t="s">
        <v>23</v>
      </c>
      <c r="H101" t="s">
        <v>34</v>
      </c>
      <c r="I101" t="s">
        <v>56</v>
      </c>
      <c r="J101" t="s">
        <v>57</v>
      </c>
      <c r="K101" t="s">
        <v>44</v>
      </c>
      <c r="L101">
        <v>9</v>
      </c>
      <c r="M101">
        <v>2969.7</v>
      </c>
      <c r="N101">
        <v>10</v>
      </c>
      <c r="U101" s="21"/>
      <c r="V101" s="21"/>
    </row>
    <row r="102" spans="1:22">
      <c r="A102">
        <v>10067</v>
      </c>
      <c r="B102">
        <v>1600</v>
      </c>
      <c r="C102" s="21">
        <v>45037</v>
      </c>
      <c r="D102" s="21">
        <v>45038</v>
      </c>
      <c r="E102" t="s">
        <v>15</v>
      </c>
      <c r="F102" t="s">
        <v>40</v>
      </c>
      <c r="G102" t="s">
        <v>23</v>
      </c>
      <c r="H102" t="s">
        <v>41</v>
      </c>
      <c r="I102" t="s">
        <v>51</v>
      </c>
      <c r="J102" t="s">
        <v>63</v>
      </c>
      <c r="K102" t="s">
        <v>27</v>
      </c>
      <c r="L102">
        <v>1</v>
      </c>
      <c r="M102">
        <v>330.13</v>
      </c>
      <c r="N102">
        <v>15</v>
      </c>
      <c r="U102" s="21"/>
      <c r="V102" s="21"/>
    </row>
    <row r="103" spans="1:22">
      <c r="A103">
        <v>10142</v>
      </c>
      <c r="B103">
        <v>1138</v>
      </c>
      <c r="C103" s="21">
        <v>45114</v>
      </c>
      <c r="D103" s="21">
        <v>45123</v>
      </c>
      <c r="E103" t="s">
        <v>15</v>
      </c>
      <c r="F103" t="s">
        <v>37</v>
      </c>
      <c r="G103" t="s">
        <v>16</v>
      </c>
      <c r="H103" t="s">
        <v>41</v>
      </c>
      <c r="I103" t="s">
        <v>48</v>
      </c>
      <c r="J103" t="s">
        <v>50</v>
      </c>
      <c r="K103" t="s">
        <v>32</v>
      </c>
      <c r="L103">
        <v>1</v>
      </c>
      <c r="M103">
        <v>2063.0500000000002</v>
      </c>
      <c r="N103">
        <v>0</v>
      </c>
      <c r="U103" s="21"/>
      <c r="V103" s="21"/>
    </row>
    <row r="104" spans="1:22">
      <c r="A104">
        <v>10163</v>
      </c>
      <c r="B104">
        <v>1406</v>
      </c>
      <c r="C104" s="21">
        <v>45245</v>
      </c>
      <c r="D104" s="21">
        <v>45249</v>
      </c>
      <c r="E104" t="s">
        <v>15</v>
      </c>
      <c r="F104" t="s">
        <v>22</v>
      </c>
      <c r="G104" t="s">
        <v>29</v>
      </c>
      <c r="H104" t="s">
        <v>43</v>
      </c>
      <c r="I104" t="s">
        <v>51</v>
      </c>
      <c r="J104" t="s">
        <v>52</v>
      </c>
      <c r="K104" t="s">
        <v>44</v>
      </c>
      <c r="L104">
        <v>1</v>
      </c>
      <c r="M104">
        <v>1219.22</v>
      </c>
      <c r="N104">
        <v>20</v>
      </c>
      <c r="U104" s="21"/>
      <c r="V104" s="21"/>
    </row>
    <row r="105" spans="1:22">
      <c r="A105">
        <v>10187</v>
      </c>
      <c r="B105">
        <v>1392</v>
      </c>
      <c r="C105" s="21">
        <v>44987</v>
      </c>
      <c r="D105" s="21">
        <v>44991</v>
      </c>
      <c r="E105" t="s">
        <v>15</v>
      </c>
      <c r="F105" t="s">
        <v>40</v>
      </c>
      <c r="G105" t="s">
        <v>16</v>
      </c>
      <c r="H105" t="s">
        <v>43</v>
      </c>
      <c r="I105" t="s">
        <v>18</v>
      </c>
      <c r="J105" t="s">
        <v>42</v>
      </c>
      <c r="K105" t="s">
        <v>32</v>
      </c>
      <c r="L105">
        <v>1</v>
      </c>
      <c r="M105">
        <v>1730.41</v>
      </c>
      <c r="N105">
        <v>10</v>
      </c>
      <c r="U105" s="21"/>
      <c r="V105" s="21"/>
    </row>
    <row r="106" spans="1:22">
      <c r="A106">
        <v>10212</v>
      </c>
      <c r="B106">
        <v>1159</v>
      </c>
      <c r="C106" s="21">
        <v>45016</v>
      </c>
      <c r="D106" s="21">
        <v>45019</v>
      </c>
      <c r="E106" t="s">
        <v>15</v>
      </c>
      <c r="F106" t="s">
        <v>28</v>
      </c>
      <c r="G106" t="s">
        <v>29</v>
      </c>
      <c r="H106" t="s">
        <v>43</v>
      </c>
      <c r="I106" t="s">
        <v>25</v>
      </c>
      <c r="J106" t="s">
        <v>60</v>
      </c>
      <c r="K106" t="s">
        <v>32</v>
      </c>
      <c r="L106">
        <v>1</v>
      </c>
      <c r="M106">
        <v>2975.54</v>
      </c>
      <c r="N106">
        <v>15</v>
      </c>
      <c r="U106" s="21"/>
      <c r="V106" s="21"/>
    </row>
    <row r="107" spans="1:22">
      <c r="A107">
        <v>10233</v>
      </c>
      <c r="B107">
        <v>1505</v>
      </c>
      <c r="C107" s="21">
        <v>45139</v>
      </c>
      <c r="D107" s="21">
        <v>45143</v>
      </c>
      <c r="E107" t="s">
        <v>15</v>
      </c>
      <c r="F107" t="s">
        <v>40</v>
      </c>
      <c r="G107" t="s">
        <v>16</v>
      </c>
      <c r="H107" t="s">
        <v>43</v>
      </c>
      <c r="I107" t="s">
        <v>18</v>
      </c>
      <c r="J107" t="s">
        <v>54</v>
      </c>
      <c r="K107" t="s">
        <v>46</v>
      </c>
      <c r="L107">
        <v>1</v>
      </c>
      <c r="M107">
        <v>556.53</v>
      </c>
      <c r="N107">
        <v>5</v>
      </c>
      <c r="U107" s="21"/>
      <c r="V107" s="21"/>
    </row>
    <row r="108" spans="1:22">
      <c r="A108">
        <v>10246</v>
      </c>
      <c r="B108">
        <v>1744</v>
      </c>
      <c r="C108" s="21">
        <v>45131</v>
      </c>
      <c r="D108" s="21">
        <v>45139</v>
      </c>
      <c r="E108" t="s">
        <v>15</v>
      </c>
      <c r="F108" t="s">
        <v>28</v>
      </c>
      <c r="G108" t="s">
        <v>23</v>
      </c>
      <c r="H108" t="s">
        <v>24</v>
      </c>
      <c r="I108" t="s">
        <v>51</v>
      </c>
      <c r="J108" t="s">
        <v>52</v>
      </c>
      <c r="K108" t="s">
        <v>44</v>
      </c>
      <c r="L108">
        <v>1</v>
      </c>
      <c r="M108">
        <v>3082.45</v>
      </c>
      <c r="N108">
        <v>5</v>
      </c>
      <c r="U108" s="21"/>
      <c r="V108" s="21"/>
    </row>
    <row r="109" spans="1:22">
      <c r="A109">
        <v>10336</v>
      </c>
      <c r="B109">
        <v>1962</v>
      </c>
      <c r="C109" s="21">
        <v>45069</v>
      </c>
      <c r="D109" s="21">
        <v>45072</v>
      </c>
      <c r="E109" t="s">
        <v>15</v>
      </c>
      <c r="F109" t="s">
        <v>40</v>
      </c>
      <c r="G109" t="s">
        <v>23</v>
      </c>
      <c r="H109" t="s">
        <v>41</v>
      </c>
      <c r="I109" t="s">
        <v>18</v>
      </c>
      <c r="J109" t="s">
        <v>68</v>
      </c>
      <c r="K109" t="s">
        <v>32</v>
      </c>
      <c r="L109">
        <v>1</v>
      </c>
      <c r="M109">
        <v>1126.5</v>
      </c>
      <c r="N109">
        <v>15</v>
      </c>
      <c r="U109" s="21"/>
      <c r="V109" s="21"/>
    </row>
    <row r="110" spans="1:22">
      <c r="A110">
        <v>10359</v>
      </c>
      <c r="B110">
        <v>1297</v>
      </c>
      <c r="C110" s="21">
        <v>45104</v>
      </c>
      <c r="D110" s="21">
        <v>45105</v>
      </c>
      <c r="E110" t="s">
        <v>15</v>
      </c>
      <c r="F110" t="s">
        <v>40</v>
      </c>
      <c r="G110" t="s">
        <v>16</v>
      </c>
      <c r="H110" t="s">
        <v>24</v>
      </c>
      <c r="I110" t="s">
        <v>30</v>
      </c>
      <c r="J110" t="s">
        <v>47</v>
      </c>
      <c r="K110" t="s">
        <v>46</v>
      </c>
      <c r="L110">
        <v>1</v>
      </c>
      <c r="M110">
        <v>202.49</v>
      </c>
      <c r="N110">
        <v>5</v>
      </c>
      <c r="U110" s="21"/>
      <c r="V110" s="21"/>
    </row>
    <row r="111" spans="1:22">
      <c r="A111">
        <v>10403</v>
      </c>
      <c r="B111">
        <v>1152</v>
      </c>
      <c r="C111" s="21">
        <v>45035</v>
      </c>
      <c r="D111" s="21">
        <v>45037</v>
      </c>
      <c r="E111" t="s">
        <v>15</v>
      </c>
      <c r="F111" t="s">
        <v>37</v>
      </c>
      <c r="G111" t="s">
        <v>23</v>
      </c>
      <c r="H111" t="s">
        <v>43</v>
      </c>
      <c r="I111" t="s">
        <v>25</v>
      </c>
      <c r="J111" t="s">
        <v>35</v>
      </c>
      <c r="K111" t="s">
        <v>20</v>
      </c>
      <c r="L111">
        <v>1</v>
      </c>
      <c r="M111">
        <v>2743.75</v>
      </c>
      <c r="N111">
        <v>15</v>
      </c>
      <c r="U111" s="21"/>
      <c r="V111" s="21"/>
    </row>
    <row r="112" spans="1:22">
      <c r="A112">
        <v>10406</v>
      </c>
      <c r="B112">
        <v>1895</v>
      </c>
      <c r="C112" s="21">
        <v>45195</v>
      </c>
      <c r="D112" s="21">
        <v>45204</v>
      </c>
      <c r="E112" t="s">
        <v>15</v>
      </c>
      <c r="F112" t="s">
        <v>28</v>
      </c>
      <c r="G112" t="s">
        <v>29</v>
      </c>
      <c r="H112" t="s">
        <v>43</v>
      </c>
      <c r="I112" t="s">
        <v>48</v>
      </c>
      <c r="J112" t="s">
        <v>50</v>
      </c>
      <c r="K112" t="s">
        <v>20</v>
      </c>
      <c r="L112">
        <v>1</v>
      </c>
      <c r="M112">
        <v>2044.41</v>
      </c>
      <c r="N112">
        <v>0</v>
      </c>
      <c r="U112" s="21"/>
      <c r="V112" s="21"/>
    </row>
    <row r="113" spans="1:22">
      <c r="A113">
        <v>10017</v>
      </c>
      <c r="B113">
        <v>1099</v>
      </c>
      <c r="C113" s="21">
        <v>45148</v>
      </c>
      <c r="D113" s="21">
        <v>45151</v>
      </c>
      <c r="E113" t="s">
        <v>15</v>
      </c>
      <c r="F113" t="s">
        <v>53</v>
      </c>
      <c r="G113" t="s">
        <v>16</v>
      </c>
      <c r="H113" t="s">
        <v>43</v>
      </c>
      <c r="I113" t="s">
        <v>30</v>
      </c>
      <c r="J113" t="s">
        <v>38</v>
      </c>
      <c r="K113" t="s">
        <v>27</v>
      </c>
      <c r="L113">
        <v>2</v>
      </c>
      <c r="M113">
        <v>254.91</v>
      </c>
      <c r="N113">
        <v>15</v>
      </c>
      <c r="U113" s="21"/>
      <c r="V113" s="21"/>
    </row>
    <row r="114" spans="1:22">
      <c r="A114">
        <v>10023</v>
      </c>
      <c r="B114">
        <v>1769</v>
      </c>
      <c r="C114" s="21">
        <v>45075</v>
      </c>
      <c r="D114" s="21">
        <v>45084</v>
      </c>
      <c r="E114" t="s">
        <v>15</v>
      </c>
      <c r="F114" t="s">
        <v>22</v>
      </c>
      <c r="G114" t="s">
        <v>16</v>
      </c>
      <c r="H114" t="s">
        <v>41</v>
      </c>
      <c r="I114" t="s">
        <v>30</v>
      </c>
      <c r="J114" t="s">
        <v>31</v>
      </c>
      <c r="K114" t="s">
        <v>44</v>
      </c>
      <c r="L114">
        <v>2</v>
      </c>
      <c r="M114">
        <v>2801.74</v>
      </c>
      <c r="N114">
        <v>20</v>
      </c>
      <c r="U114" s="21"/>
      <c r="V114" s="21"/>
    </row>
    <row r="115" spans="1:22">
      <c r="A115">
        <v>10372</v>
      </c>
      <c r="B115">
        <v>1651</v>
      </c>
      <c r="C115" s="21">
        <v>45164</v>
      </c>
      <c r="D115" s="21">
        <v>45167</v>
      </c>
      <c r="E115" t="s">
        <v>15</v>
      </c>
      <c r="F115" t="s">
        <v>22</v>
      </c>
      <c r="G115" t="s">
        <v>23</v>
      </c>
      <c r="H115" t="s">
        <v>34</v>
      </c>
      <c r="I115" t="s">
        <v>48</v>
      </c>
      <c r="J115" t="s">
        <v>62</v>
      </c>
      <c r="K115" t="s">
        <v>20</v>
      </c>
      <c r="L115">
        <v>2</v>
      </c>
      <c r="M115">
        <v>3957.02</v>
      </c>
      <c r="N115">
        <v>5</v>
      </c>
      <c r="U115" s="21"/>
      <c r="V115" s="21"/>
    </row>
    <row r="116" spans="1:22">
      <c r="A116">
        <v>10395</v>
      </c>
      <c r="B116">
        <v>1103</v>
      </c>
      <c r="C116" s="21">
        <v>45201</v>
      </c>
      <c r="D116" s="21">
        <v>45206</v>
      </c>
      <c r="E116" t="s">
        <v>15</v>
      </c>
      <c r="F116" t="s">
        <v>22</v>
      </c>
      <c r="G116" t="s">
        <v>23</v>
      </c>
      <c r="H116" t="s">
        <v>43</v>
      </c>
      <c r="I116" t="s">
        <v>25</v>
      </c>
      <c r="J116" t="s">
        <v>35</v>
      </c>
      <c r="K116" t="s">
        <v>44</v>
      </c>
      <c r="L116">
        <v>2</v>
      </c>
      <c r="M116">
        <v>610.30999999999995</v>
      </c>
      <c r="N116">
        <v>10</v>
      </c>
      <c r="U116" s="21"/>
      <c r="V116" s="21"/>
    </row>
    <row r="117" spans="1:22">
      <c r="A117">
        <v>10485</v>
      </c>
      <c r="B117">
        <v>1992</v>
      </c>
      <c r="C117" s="21">
        <v>45228</v>
      </c>
      <c r="D117" s="21">
        <v>45237</v>
      </c>
      <c r="E117" t="s">
        <v>15</v>
      </c>
      <c r="F117" t="s">
        <v>15</v>
      </c>
      <c r="G117" t="s">
        <v>16</v>
      </c>
      <c r="H117" t="s">
        <v>41</v>
      </c>
      <c r="I117" t="s">
        <v>18</v>
      </c>
      <c r="J117" t="s">
        <v>42</v>
      </c>
      <c r="K117" t="s">
        <v>44</v>
      </c>
      <c r="L117">
        <v>2</v>
      </c>
      <c r="M117">
        <v>1294.8399999999999</v>
      </c>
      <c r="N117">
        <v>15</v>
      </c>
      <c r="U117" s="21"/>
      <c r="V117" s="21"/>
    </row>
    <row r="118" spans="1:22">
      <c r="A118">
        <v>10072</v>
      </c>
      <c r="B118">
        <v>1345</v>
      </c>
      <c r="C118" s="21">
        <v>44998</v>
      </c>
      <c r="D118" s="21">
        <v>45005</v>
      </c>
      <c r="E118" t="s">
        <v>15</v>
      </c>
      <c r="F118" t="s">
        <v>53</v>
      </c>
      <c r="G118" t="s">
        <v>16</v>
      </c>
      <c r="H118" t="s">
        <v>17</v>
      </c>
      <c r="I118" t="s">
        <v>18</v>
      </c>
      <c r="J118" t="s">
        <v>54</v>
      </c>
      <c r="K118" t="s">
        <v>46</v>
      </c>
      <c r="L118">
        <v>3</v>
      </c>
      <c r="M118">
        <v>1859.84</v>
      </c>
      <c r="N118">
        <v>15</v>
      </c>
      <c r="U118" s="21"/>
      <c r="V118" s="21"/>
    </row>
    <row r="119" spans="1:22">
      <c r="A119">
        <v>10074</v>
      </c>
      <c r="B119">
        <v>1897</v>
      </c>
      <c r="C119" s="21">
        <v>45290</v>
      </c>
      <c r="D119" s="21">
        <v>45296</v>
      </c>
      <c r="E119" t="s">
        <v>15</v>
      </c>
      <c r="F119" t="s">
        <v>53</v>
      </c>
      <c r="G119" t="s">
        <v>29</v>
      </c>
      <c r="H119" t="s">
        <v>34</v>
      </c>
      <c r="I119" t="s">
        <v>18</v>
      </c>
      <c r="J119" t="s">
        <v>42</v>
      </c>
      <c r="K119" t="s">
        <v>32</v>
      </c>
      <c r="L119">
        <v>3</v>
      </c>
      <c r="M119">
        <v>2196.89</v>
      </c>
      <c r="N119">
        <v>0</v>
      </c>
      <c r="U119" s="21"/>
      <c r="V119" s="21"/>
    </row>
    <row r="120" spans="1:22">
      <c r="A120">
        <v>10381</v>
      </c>
      <c r="B120">
        <v>1207</v>
      </c>
      <c r="C120" s="21">
        <v>45185</v>
      </c>
      <c r="D120" s="21">
        <v>45188</v>
      </c>
      <c r="E120" t="s">
        <v>15</v>
      </c>
      <c r="F120" t="s">
        <v>22</v>
      </c>
      <c r="G120" t="s">
        <v>23</v>
      </c>
      <c r="H120" t="s">
        <v>43</v>
      </c>
      <c r="I120" t="s">
        <v>51</v>
      </c>
      <c r="J120" t="s">
        <v>55</v>
      </c>
      <c r="K120" t="s">
        <v>46</v>
      </c>
      <c r="L120">
        <v>3</v>
      </c>
      <c r="M120">
        <v>487.45</v>
      </c>
      <c r="N120">
        <v>5</v>
      </c>
      <c r="U120" s="21"/>
      <c r="V120" s="21"/>
    </row>
    <row r="121" spans="1:22">
      <c r="A121">
        <v>10385</v>
      </c>
      <c r="B121">
        <v>1053</v>
      </c>
      <c r="C121" s="21">
        <v>44966</v>
      </c>
      <c r="D121" s="21">
        <v>44967</v>
      </c>
      <c r="E121" t="s">
        <v>15</v>
      </c>
      <c r="F121" t="s">
        <v>22</v>
      </c>
      <c r="G121" t="s">
        <v>23</v>
      </c>
      <c r="H121" t="s">
        <v>41</v>
      </c>
      <c r="I121" t="s">
        <v>51</v>
      </c>
      <c r="J121" t="s">
        <v>63</v>
      </c>
      <c r="K121" t="s">
        <v>32</v>
      </c>
      <c r="L121">
        <v>3</v>
      </c>
      <c r="M121">
        <v>1382.11</v>
      </c>
      <c r="N121">
        <v>10</v>
      </c>
      <c r="U121" s="21"/>
      <c r="V121" s="21"/>
    </row>
    <row r="122" spans="1:22">
      <c r="A122">
        <v>10399</v>
      </c>
      <c r="B122">
        <v>1111</v>
      </c>
      <c r="C122" s="21">
        <v>45228</v>
      </c>
      <c r="D122" s="21">
        <v>45237</v>
      </c>
      <c r="E122" t="s">
        <v>15</v>
      </c>
      <c r="F122" t="s">
        <v>15</v>
      </c>
      <c r="G122" t="s">
        <v>23</v>
      </c>
      <c r="H122" t="s">
        <v>41</v>
      </c>
      <c r="I122" t="s">
        <v>18</v>
      </c>
      <c r="J122" t="s">
        <v>42</v>
      </c>
      <c r="K122" t="s">
        <v>32</v>
      </c>
      <c r="L122">
        <v>3</v>
      </c>
      <c r="M122">
        <v>1789.86</v>
      </c>
      <c r="N122">
        <v>0</v>
      </c>
      <c r="U122" s="21"/>
      <c r="V122" s="21"/>
    </row>
    <row r="123" spans="1:22">
      <c r="A123">
        <v>10441</v>
      </c>
      <c r="B123">
        <v>1229</v>
      </c>
      <c r="C123" s="21">
        <v>45116</v>
      </c>
      <c r="D123" s="21">
        <v>45119</v>
      </c>
      <c r="E123" t="s">
        <v>15</v>
      </c>
      <c r="F123" t="s">
        <v>22</v>
      </c>
      <c r="G123" t="s">
        <v>16</v>
      </c>
      <c r="H123" t="s">
        <v>41</v>
      </c>
      <c r="I123" t="s">
        <v>30</v>
      </c>
      <c r="J123" t="s">
        <v>64</v>
      </c>
      <c r="K123" t="s">
        <v>44</v>
      </c>
      <c r="L123">
        <v>3</v>
      </c>
      <c r="M123">
        <v>2189.4</v>
      </c>
      <c r="N123">
        <v>20</v>
      </c>
      <c r="U123" s="21"/>
      <c r="V123" s="21"/>
    </row>
    <row r="124" spans="1:22">
      <c r="A124">
        <v>10044</v>
      </c>
      <c r="B124">
        <v>1475</v>
      </c>
      <c r="C124" s="21">
        <v>44955</v>
      </c>
      <c r="D124" s="21">
        <v>44959</v>
      </c>
      <c r="E124" t="s">
        <v>15</v>
      </c>
      <c r="F124" t="s">
        <v>28</v>
      </c>
      <c r="G124" t="s">
        <v>16</v>
      </c>
      <c r="H124" t="s">
        <v>41</v>
      </c>
      <c r="I124" t="s">
        <v>30</v>
      </c>
      <c r="J124" t="s">
        <v>47</v>
      </c>
      <c r="K124" t="s">
        <v>46</v>
      </c>
      <c r="L124">
        <v>4</v>
      </c>
      <c r="M124">
        <v>214.51</v>
      </c>
      <c r="N124">
        <v>20</v>
      </c>
      <c r="U124" s="21"/>
      <c r="V124" s="21"/>
    </row>
    <row r="125" spans="1:22">
      <c r="A125">
        <v>10140</v>
      </c>
      <c r="B125">
        <v>1471</v>
      </c>
      <c r="C125" s="21">
        <v>45008</v>
      </c>
      <c r="D125" s="21">
        <v>45015</v>
      </c>
      <c r="E125" t="s">
        <v>15</v>
      </c>
      <c r="F125" t="s">
        <v>53</v>
      </c>
      <c r="G125" t="s">
        <v>29</v>
      </c>
      <c r="H125" t="s">
        <v>41</v>
      </c>
      <c r="I125" t="s">
        <v>56</v>
      </c>
      <c r="J125" t="s">
        <v>58</v>
      </c>
      <c r="K125" t="s">
        <v>46</v>
      </c>
      <c r="L125">
        <v>4</v>
      </c>
      <c r="M125">
        <v>3565.41</v>
      </c>
      <c r="N125">
        <v>20</v>
      </c>
      <c r="U125" s="21"/>
      <c r="V125" s="21"/>
    </row>
    <row r="126" spans="1:22">
      <c r="A126">
        <v>10155</v>
      </c>
      <c r="B126">
        <v>1134</v>
      </c>
      <c r="C126" s="21">
        <v>44945</v>
      </c>
      <c r="D126" s="21">
        <v>44954</v>
      </c>
      <c r="E126" t="s">
        <v>15</v>
      </c>
      <c r="F126" t="s">
        <v>28</v>
      </c>
      <c r="G126" t="s">
        <v>29</v>
      </c>
      <c r="H126" t="s">
        <v>24</v>
      </c>
      <c r="I126" t="s">
        <v>51</v>
      </c>
      <c r="J126" t="s">
        <v>55</v>
      </c>
      <c r="K126" t="s">
        <v>20</v>
      </c>
      <c r="L126">
        <v>4</v>
      </c>
      <c r="M126">
        <v>1442.15</v>
      </c>
      <c r="N126">
        <v>15</v>
      </c>
      <c r="U126" s="21"/>
      <c r="V126" s="21"/>
    </row>
    <row r="127" spans="1:22">
      <c r="A127">
        <v>10175</v>
      </c>
      <c r="B127">
        <v>1612</v>
      </c>
      <c r="C127" s="21">
        <v>45074</v>
      </c>
      <c r="D127" s="21">
        <v>45081</v>
      </c>
      <c r="E127" t="s">
        <v>15</v>
      </c>
      <c r="F127" t="s">
        <v>40</v>
      </c>
      <c r="G127" t="s">
        <v>16</v>
      </c>
      <c r="H127" t="s">
        <v>17</v>
      </c>
      <c r="I127" t="s">
        <v>30</v>
      </c>
      <c r="J127" t="s">
        <v>31</v>
      </c>
      <c r="K127" t="s">
        <v>44</v>
      </c>
      <c r="L127">
        <v>4</v>
      </c>
      <c r="M127">
        <v>2836.21</v>
      </c>
      <c r="N127">
        <v>20</v>
      </c>
      <c r="U127" s="21"/>
      <c r="V127" s="21"/>
    </row>
    <row r="128" spans="1:22">
      <c r="A128">
        <v>10197</v>
      </c>
      <c r="B128">
        <v>1742</v>
      </c>
      <c r="C128" s="21">
        <v>45263</v>
      </c>
      <c r="D128" s="21">
        <v>45266</v>
      </c>
      <c r="E128" t="s">
        <v>15</v>
      </c>
      <c r="F128" t="s">
        <v>37</v>
      </c>
      <c r="G128" t="s">
        <v>16</v>
      </c>
      <c r="H128" t="s">
        <v>34</v>
      </c>
      <c r="I128" t="s">
        <v>48</v>
      </c>
      <c r="J128" t="s">
        <v>66</v>
      </c>
      <c r="K128" t="s">
        <v>44</v>
      </c>
      <c r="L128">
        <v>4</v>
      </c>
      <c r="M128">
        <v>1256.21</v>
      </c>
      <c r="N128">
        <v>10</v>
      </c>
      <c r="U128" s="21"/>
      <c r="V128" s="21"/>
    </row>
    <row r="129" spans="1:22">
      <c r="A129">
        <v>10341</v>
      </c>
      <c r="B129">
        <v>1710</v>
      </c>
      <c r="C129" s="21">
        <v>45042</v>
      </c>
      <c r="D129" s="21">
        <v>45048</v>
      </c>
      <c r="E129" t="s">
        <v>15</v>
      </c>
      <c r="F129" t="s">
        <v>28</v>
      </c>
      <c r="G129" t="s">
        <v>16</v>
      </c>
      <c r="H129" t="s">
        <v>34</v>
      </c>
      <c r="I129" t="s">
        <v>48</v>
      </c>
      <c r="J129" t="s">
        <v>50</v>
      </c>
      <c r="K129" t="s">
        <v>27</v>
      </c>
      <c r="L129">
        <v>4</v>
      </c>
      <c r="M129">
        <v>641.92999999999995</v>
      </c>
      <c r="N129">
        <v>0</v>
      </c>
      <c r="U129" s="21"/>
      <c r="V129" s="21"/>
    </row>
    <row r="130" spans="1:22">
      <c r="A130">
        <v>10036</v>
      </c>
      <c r="B130">
        <v>1252</v>
      </c>
      <c r="C130" s="21">
        <v>45076</v>
      </c>
      <c r="D130" s="21">
        <v>45084</v>
      </c>
      <c r="E130" t="s">
        <v>15</v>
      </c>
      <c r="F130" t="s">
        <v>37</v>
      </c>
      <c r="G130" t="s">
        <v>16</v>
      </c>
      <c r="H130" t="s">
        <v>41</v>
      </c>
      <c r="I130" t="s">
        <v>25</v>
      </c>
      <c r="J130" t="s">
        <v>26</v>
      </c>
      <c r="K130" t="s">
        <v>27</v>
      </c>
      <c r="L130">
        <v>5</v>
      </c>
      <c r="M130">
        <v>2327.9</v>
      </c>
      <c r="N130">
        <v>0</v>
      </c>
      <c r="U130" s="21"/>
      <c r="V130" s="21"/>
    </row>
    <row r="131" spans="1:22">
      <c r="A131">
        <v>10121</v>
      </c>
      <c r="B131">
        <v>1052</v>
      </c>
      <c r="C131" s="21">
        <v>45114</v>
      </c>
      <c r="D131" s="21">
        <v>45115</v>
      </c>
      <c r="E131" t="s">
        <v>15</v>
      </c>
      <c r="F131" t="s">
        <v>15</v>
      </c>
      <c r="G131" t="s">
        <v>23</v>
      </c>
      <c r="H131" t="s">
        <v>34</v>
      </c>
      <c r="I131" t="s">
        <v>56</v>
      </c>
      <c r="J131" t="s">
        <v>61</v>
      </c>
      <c r="K131" t="s">
        <v>32</v>
      </c>
      <c r="L131">
        <v>5</v>
      </c>
      <c r="M131">
        <v>2832.28</v>
      </c>
      <c r="N131">
        <v>0</v>
      </c>
      <c r="U131" s="21"/>
      <c r="V131" s="21"/>
    </row>
    <row r="132" spans="1:22">
      <c r="A132">
        <v>10122</v>
      </c>
      <c r="B132">
        <v>1791</v>
      </c>
      <c r="C132" s="21">
        <v>44983</v>
      </c>
      <c r="D132" s="21">
        <v>44991</v>
      </c>
      <c r="E132" t="s">
        <v>15</v>
      </c>
      <c r="F132" t="s">
        <v>37</v>
      </c>
      <c r="G132" t="s">
        <v>23</v>
      </c>
      <c r="H132" t="s">
        <v>41</v>
      </c>
      <c r="I132" t="s">
        <v>48</v>
      </c>
      <c r="J132" t="s">
        <v>62</v>
      </c>
      <c r="K132" t="s">
        <v>44</v>
      </c>
      <c r="L132">
        <v>5</v>
      </c>
      <c r="M132">
        <v>1398.73</v>
      </c>
      <c r="N132">
        <v>0</v>
      </c>
      <c r="U132" s="21"/>
      <c r="V132" s="21"/>
    </row>
    <row r="133" spans="1:22">
      <c r="A133">
        <v>10296</v>
      </c>
      <c r="B133">
        <v>1129</v>
      </c>
      <c r="C133" s="21">
        <v>44954</v>
      </c>
      <c r="D133" s="21">
        <v>44957</v>
      </c>
      <c r="E133" t="s">
        <v>15</v>
      </c>
      <c r="F133" t="s">
        <v>15</v>
      </c>
      <c r="G133" t="s">
        <v>16</v>
      </c>
      <c r="H133" t="s">
        <v>34</v>
      </c>
      <c r="I133" t="s">
        <v>30</v>
      </c>
      <c r="J133" t="s">
        <v>47</v>
      </c>
      <c r="K133" t="s">
        <v>46</v>
      </c>
      <c r="L133">
        <v>5</v>
      </c>
      <c r="M133">
        <v>2850.33</v>
      </c>
      <c r="N133">
        <v>5</v>
      </c>
      <c r="U133" s="21"/>
      <c r="V133" s="21"/>
    </row>
    <row r="134" spans="1:22">
      <c r="A134">
        <v>10365</v>
      </c>
      <c r="B134">
        <v>1623</v>
      </c>
      <c r="C134" s="21">
        <v>44934</v>
      </c>
      <c r="D134" s="21">
        <v>44940</v>
      </c>
      <c r="E134" t="s">
        <v>15</v>
      </c>
      <c r="F134" t="s">
        <v>40</v>
      </c>
      <c r="G134" t="s">
        <v>16</v>
      </c>
      <c r="H134" t="s">
        <v>34</v>
      </c>
      <c r="I134" t="s">
        <v>51</v>
      </c>
      <c r="J134" t="s">
        <v>52</v>
      </c>
      <c r="K134" t="s">
        <v>32</v>
      </c>
      <c r="L134">
        <v>5</v>
      </c>
      <c r="M134">
        <v>3593.46</v>
      </c>
      <c r="N134">
        <v>20</v>
      </c>
      <c r="U134" s="21"/>
      <c r="V134" s="21"/>
    </row>
    <row r="135" spans="1:22">
      <c r="A135">
        <v>10491</v>
      </c>
      <c r="B135">
        <v>1982</v>
      </c>
      <c r="C135" s="21">
        <v>45133</v>
      </c>
      <c r="D135" s="21">
        <v>45137</v>
      </c>
      <c r="E135" t="s">
        <v>15</v>
      </c>
      <c r="F135" t="s">
        <v>28</v>
      </c>
      <c r="G135" t="s">
        <v>16</v>
      </c>
      <c r="H135" t="s">
        <v>43</v>
      </c>
      <c r="I135" t="s">
        <v>48</v>
      </c>
      <c r="J135" t="s">
        <v>62</v>
      </c>
      <c r="K135" t="s">
        <v>27</v>
      </c>
      <c r="L135">
        <v>5</v>
      </c>
      <c r="M135">
        <v>977.43</v>
      </c>
      <c r="N135">
        <v>20</v>
      </c>
      <c r="U135" s="21"/>
      <c r="V135" s="21"/>
    </row>
    <row r="136" spans="1:22">
      <c r="A136">
        <v>10497</v>
      </c>
      <c r="B136">
        <v>1792</v>
      </c>
      <c r="C136" s="21">
        <v>45145</v>
      </c>
      <c r="D136" s="21">
        <v>45151</v>
      </c>
      <c r="E136" t="s">
        <v>15</v>
      </c>
      <c r="F136" t="s">
        <v>28</v>
      </c>
      <c r="G136" t="s">
        <v>23</v>
      </c>
      <c r="H136" t="s">
        <v>41</v>
      </c>
      <c r="I136" t="s">
        <v>30</v>
      </c>
      <c r="J136" t="s">
        <v>38</v>
      </c>
      <c r="K136" t="s">
        <v>20</v>
      </c>
      <c r="L136">
        <v>5</v>
      </c>
      <c r="M136">
        <v>1287.55</v>
      </c>
      <c r="N136">
        <v>0</v>
      </c>
      <c r="U136" s="21"/>
      <c r="V136" s="21"/>
    </row>
    <row r="137" spans="1:22">
      <c r="A137">
        <v>10113</v>
      </c>
      <c r="B137">
        <v>1251</v>
      </c>
      <c r="C137" s="21">
        <v>45080</v>
      </c>
      <c r="D137" s="21">
        <v>45083</v>
      </c>
      <c r="E137" t="s">
        <v>15</v>
      </c>
      <c r="F137" t="s">
        <v>22</v>
      </c>
      <c r="G137" t="s">
        <v>16</v>
      </c>
      <c r="H137" t="s">
        <v>17</v>
      </c>
      <c r="I137" t="s">
        <v>25</v>
      </c>
      <c r="J137" t="s">
        <v>60</v>
      </c>
      <c r="K137" t="s">
        <v>20</v>
      </c>
      <c r="L137">
        <v>6</v>
      </c>
      <c r="M137">
        <v>2257.77</v>
      </c>
      <c r="N137">
        <v>20</v>
      </c>
      <c r="U137" s="21"/>
      <c r="V137" s="21"/>
    </row>
    <row r="138" spans="1:22">
      <c r="A138">
        <v>10422</v>
      </c>
      <c r="B138">
        <v>1915</v>
      </c>
      <c r="C138" s="21">
        <v>45059</v>
      </c>
      <c r="D138" s="21">
        <v>45061</v>
      </c>
      <c r="E138" t="s">
        <v>15</v>
      </c>
      <c r="F138" t="s">
        <v>53</v>
      </c>
      <c r="G138" t="s">
        <v>16</v>
      </c>
      <c r="H138" t="s">
        <v>17</v>
      </c>
      <c r="I138" t="s">
        <v>51</v>
      </c>
      <c r="J138" t="s">
        <v>63</v>
      </c>
      <c r="K138" t="s">
        <v>46</v>
      </c>
      <c r="L138">
        <v>6</v>
      </c>
      <c r="M138">
        <v>1288.31</v>
      </c>
      <c r="N138">
        <v>15</v>
      </c>
      <c r="U138" s="21"/>
      <c r="V138" s="21"/>
    </row>
    <row r="139" spans="1:22">
      <c r="A139">
        <v>10466</v>
      </c>
      <c r="B139">
        <v>1171</v>
      </c>
      <c r="C139" s="21">
        <v>44973</v>
      </c>
      <c r="D139" s="21">
        <v>44975</v>
      </c>
      <c r="E139" t="s">
        <v>15</v>
      </c>
      <c r="F139" t="s">
        <v>40</v>
      </c>
      <c r="G139" t="s">
        <v>29</v>
      </c>
      <c r="H139" t="s">
        <v>34</v>
      </c>
      <c r="I139" t="s">
        <v>18</v>
      </c>
      <c r="J139" t="s">
        <v>42</v>
      </c>
      <c r="K139" t="s">
        <v>27</v>
      </c>
      <c r="L139">
        <v>6</v>
      </c>
      <c r="M139">
        <v>3773.04</v>
      </c>
      <c r="N139">
        <v>0</v>
      </c>
      <c r="U139" s="21"/>
      <c r="V139" s="21"/>
    </row>
    <row r="140" spans="1:22">
      <c r="A140">
        <v>10480</v>
      </c>
      <c r="B140">
        <v>1301</v>
      </c>
      <c r="C140" s="21">
        <v>45117</v>
      </c>
      <c r="D140" s="21">
        <v>45119</v>
      </c>
      <c r="E140" t="s">
        <v>15</v>
      </c>
      <c r="F140" t="s">
        <v>28</v>
      </c>
      <c r="G140" t="s">
        <v>16</v>
      </c>
      <c r="H140" t="s">
        <v>43</v>
      </c>
      <c r="I140" t="s">
        <v>25</v>
      </c>
      <c r="J140" t="s">
        <v>35</v>
      </c>
      <c r="K140" t="s">
        <v>46</v>
      </c>
      <c r="L140">
        <v>6</v>
      </c>
      <c r="M140">
        <v>845</v>
      </c>
      <c r="N140">
        <v>15</v>
      </c>
      <c r="U140" s="21"/>
      <c r="V140" s="21"/>
    </row>
    <row r="141" spans="1:22">
      <c r="A141">
        <v>10100</v>
      </c>
      <c r="B141">
        <v>1729</v>
      </c>
      <c r="C141" s="21">
        <v>45169</v>
      </c>
      <c r="D141" s="21">
        <v>45176</v>
      </c>
      <c r="E141" t="s">
        <v>15</v>
      </c>
      <c r="F141" t="s">
        <v>28</v>
      </c>
      <c r="G141" t="s">
        <v>23</v>
      </c>
      <c r="H141" t="s">
        <v>17</v>
      </c>
      <c r="I141" t="s">
        <v>18</v>
      </c>
      <c r="J141" t="s">
        <v>42</v>
      </c>
      <c r="K141" t="s">
        <v>46</v>
      </c>
      <c r="L141">
        <v>7</v>
      </c>
      <c r="M141">
        <v>3156.71</v>
      </c>
      <c r="N141">
        <v>10</v>
      </c>
      <c r="U141" s="21"/>
      <c r="V141" s="21"/>
    </row>
    <row r="142" spans="1:22">
      <c r="A142">
        <v>10116</v>
      </c>
      <c r="B142">
        <v>1724</v>
      </c>
      <c r="C142" s="21">
        <v>45236</v>
      </c>
      <c r="D142" s="21">
        <v>45240</v>
      </c>
      <c r="E142" t="s">
        <v>15</v>
      </c>
      <c r="F142" t="s">
        <v>40</v>
      </c>
      <c r="G142" t="s">
        <v>29</v>
      </c>
      <c r="H142" t="s">
        <v>17</v>
      </c>
      <c r="I142" t="s">
        <v>51</v>
      </c>
      <c r="J142" t="s">
        <v>59</v>
      </c>
      <c r="K142" t="s">
        <v>46</v>
      </c>
      <c r="L142">
        <v>7</v>
      </c>
      <c r="M142">
        <v>978.54</v>
      </c>
      <c r="N142">
        <v>15</v>
      </c>
      <c r="U142" s="21"/>
      <c r="V142" s="21"/>
    </row>
    <row r="143" spans="1:22">
      <c r="A143">
        <v>10166</v>
      </c>
      <c r="B143">
        <v>1804</v>
      </c>
      <c r="C143" s="21">
        <v>45177</v>
      </c>
      <c r="D143" s="21">
        <v>45179</v>
      </c>
      <c r="E143" t="s">
        <v>15</v>
      </c>
      <c r="F143" t="s">
        <v>40</v>
      </c>
      <c r="G143" t="s">
        <v>29</v>
      </c>
      <c r="H143" t="s">
        <v>41</v>
      </c>
      <c r="I143" t="s">
        <v>25</v>
      </c>
      <c r="J143" t="s">
        <v>26</v>
      </c>
      <c r="K143" t="s">
        <v>20</v>
      </c>
      <c r="L143">
        <v>7</v>
      </c>
      <c r="M143">
        <v>972.74</v>
      </c>
      <c r="N143">
        <v>0</v>
      </c>
      <c r="U143" s="21"/>
      <c r="V143" s="21"/>
    </row>
    <row r="144" spans="1:22">
      <c r="A144">
        <v>10222</v>
      </c>
      <c r="B144">
        <v>1952</v>
      </c>
      <c r="C144" s="21">
        <v>45223</v>
      </c>
      <c r="D144" s="21">
        <v>45231</v>
      </c>
      <c r="E144" t="s">
        <v>15</v>
      </c>
      <c r="F144" t="s">
        <v>15</v>
      </c>
      <c r="G144" t="s">
        <v>23</v>
      </c>
      <c r="H144" t="s">
        <v>43</v>
      </c>
      <c r="I144" t="s">
        <v>48</v>
      </c>
      <c r="J144" t="s">
        <v>50</v>
      </c>
      <c r="K144" t="s">
        <v>20</v>
      </c>
      <c r="L144">
        <v>7</v>
      </c>
      <c r="M144">
        <v>3907.73</v>
      </c>
      <c r="N144">
        <v>10</v>
      </c>
      <c r="U144" s="21"/>
      <c r="V144" s="21"/>
    </row>
    <row r="145" spans="1:22">
      <c r="A145">
        <v>10275</v>
      </c>
      <c r="B145">
        <v>1806</v>
      </c>
      <c r="C145" s="21">
        <v>44947</v>
      </c>
      <c r="D145" s="21">
        <v>44951</v>
      </c>
      <c r="E145" t="s">
        <v>15</v>
      </c>
      <c r="F145" t="s">
        <v>53</v>
      </c>
      <c r="G145" t="s">
        <v>23</v>
      </c>
      <c r="H145" t="s">
        <v>24</v>
      </c>
      <c r="I145" t="s">
        <v>51</v>
      </c>
      <c r="J145" t="s">
        <v>63</v>
      </c>
      <c r="K145" t="s">
        <v>32</v>
      </c>
      <c r="L145">
        <v>7</v>
      </c>
      <c r="M145">
        <v>509.1</v>
      </c>
      <c r="N145">
        <v>15</v>
      </c>
      <c r="U145" s="21"/>
      <c r="V145" s="21"/>
    </row>
    <row r="146" spans="1:22">
      <c r="A146">
        <v>10302</v>
      </c>
      <c r="B146">
        <v>1415</v>
      </c>
      <c r="C146" s="21">
        <v>45024</v>
      </c>
      <c r="D146" s="21">
        <v>45027</v>
      </c>
      <c r="E146" t="s">
        <v>15</v>
      </c>
      <c r="F146" t="s">
        <v>28</v>
      </c>
      <c r="G146" t="s">
        <v>23</v>
      </c>
      <c r="H146" t="s">
        <v>17</v>
      </c>
      <c r="I146" t="s">
        <v>30</v>
      </c>
      <c r="J146" t="s">
        <v>64</v>
      </c>
      <c r="K146" t="s">
        <v>32</v>
      </c>
      <c r="L146">
        <v>7</v>
      </c>
      <c r="M146">
        <v>636.59</v>
      </c>
      <c r="N146">
        <v>5</v>
      </c>
      <c r="U146" s="21"/>
      <c r="V146" s="21"/>
    </row>
    <row r="147" spans="1:22">
      <c r="A147">
        <v>10013</v>
      </c>
      <c r="B147">
        <v>1330</v>
      </c>
      <c r="C147" s="21">
        <v>45100</v>
      </c>
      <c r="D147" s="21">
        <v>45107</v>
      </c>
      <c r="E147" t="s">
        <v>15</v>
      </c>
      <c r="F147" t="s">
        <v>22</v>
      </c>
      <c r="G147" t="s">
        <v>16</v>
      </c>
      <c r="H147" t="s">
        <v>34</v>
      </c>
      <c r="I147" t="s">
        <v>18</v>
      </c>
      <c r="J147" t="s">
        <v>42</v>
      </c>
      <c r="K147" t="s">
        <v>20</v>
      </c>
      <c r="L147">
        <v>8</v>
      </c>
      <c r="M147">
        <v>3160.9</v>
      </c>
      <c r="N147">
        <v>0</v>
      </c>
      <c r="U147" s="21"/>
      <c r="V147" s="21"/>
    </row>
    <row r="148" spans="1:22">
      <c r="A148">
        <v>10101</v>
      </c>
      <c r="B148">
        <v>1555</v>
      </c>
      <c r="C148" s="21">
        <v>45149</v>
      </c>
      <c r="D148" s="21">
        <v>45155</v>
      </c>
      <c r="E148" t="s">
        <v>15</v>
      </c>
      <c r="F148" t="s">
        <v>15</v>
      </c>
      <c r="G148" t="s">
        <v>29</v>
      </c>
      <c r="H148" t="s">
        <v>41</v>
      </c>
      <c r="I148" t="s">
        <v>56</v>
      </c>
      <c r="J148" t="s">
        <v>58</v>
      </c>
      <c r="K148" t="s">
        <v>27</v>
      </c>
      <c r="L148">
        <v>8</v>
      </c>
      <c r="M148">
        <v>1683.18</v>
      </c>
      <c r="N148">
        <v>15</v>
      </c>
      <c r="U148" s="21"/>
      <c r="V148" s="21"/>
    </row>
    <row r="149" spans="1:22">
      <c r="A149">
        <v>10119</v>
      </c>
      <c r="B149">
        <v>1337</v>
      </c>
      <c r="C149" s="21">
        <v>44964</v>
      </c>
      <c r="D149" s="21">
        <v>44970</v>
      </c>
      <c r="E149" t="s">
        <v>15</v>
      </c>
      <c r="F149" t="s">
        <v>37</v>
      </c>
      <c r="G149" t="s">
        <v>16</v>
      </c>
      <c r="H149" t="s">
        <v>34</v>
      </c>
      <c r="I149" t="s">
        <v>30</v>
      </c>
      <c r="J149" t="s">
        <v>31</v>
      </c>
      <c r="K149" t="s">
        <v>32</v>
      </c>
      <c r="L149">
        <v>8</v>
      </c>
      <c r="M149">
        <v>3339.68</v>
      </c>
      <c r="N149">
        <v>0</v>
      </c>
      <c r="U149" s="21"/>
      <c r="V149" s="21"/>
    </row>
    <row r="150" spans="1:22">
      <c r="A150">
        <v>10157</v>
      </c>
      <c r="B150">
        <v>1839</v>
      </c>
      <c r="C150" s="21">
        <v>45154</v>
      </c>
      <c r="D150" s="21">
        <v>45161</v>
      </c>
      <c r="E150" t="s">
        <v>15</v>
      </c>
      <c r="F150" t="s">
        <v>22</v>
      </c>
      <c r="G150" t="s">
        <v>29</v>
      </c>
      <c r="H150" t="s">
        <v>24</v>
      </c>
      <c r="I150" t="s">
        <v>18</v>
      </c>
      <c r="J150" t="s">
        <v>19</v>
      </c>
      <c r="K150" t="s">
        <v>32</v>
      </c>
      <c r="L150">
        <v>8</v>
      </c>
      <c r="M150">
        <v>1054.73</v>
      </c>
      <c r="N150">
        <v>0</v>
      </c>
      <c r="U150" s="21"/>
      <c r="V150" s="21"/>
    </row>
    <row r="151" spans="1:22">
      <c r="A151">
        <v>10229</v>
      </c>
      <c r="B151">
        <v>1797</v>
      </c>
      <c r="C151" s="21">
        <v>44957</v>
      </c>
      <c r="D151" s="21">
        <v>44959</v>
      </c>
      <c r="E151" t="s">
        <v>15</v>
      </c>
      <c r="F151" t="s">
        <v>53</v>
      </c>
      <c r="G151" t="s">
        <v>29</v>
      </c>
      <c r="H151" t="s">
        <v>43</v>
      </c>
      <c r="I151" t="s">
        <v>48</v>
      </c>
      <c r="J151" t="s">
        <v>66</v>
      </c>
      <c r="K151" t="s">
        <v>32</v>
      </c>
      <c r="L151">
        <v>8</v>
      </c>
      <c r="M151">
        <v>3519.2</v>
      </c>
      <c r="N151">
        <v>0</v>
      </c>
      <c r="U151" s="21"/>
      <c r="V151" s="21"/>
    </row>
    <row r="152" spans="1:22">
      <c r="A152">
        <v>10251</v>
      </c>
      <c r="B152">
        <v>1410</v>
      </c>
      <c r="C152" s="21">
        <v>45154</v>
      </c>
      <c r="D152" s="21">
        <v>45155</v>
      </c>
      <c r="E152" t="s">
        <v>15</v>
      </c>
      <c r="F152" t="s">
        <v>22</v>
      </c>
      <c r="G152" t="s">
        <v>16</v>
      </c>
      <c r="H152" t="s">
        <v>24</v>
      </c>
      <c r="I152" t="s">
        <v>30</v>
      </c>
      <c r="J152" t="s">
        <v>47</v>
      </c>
      <c r="K152" t="s">
        <v>27</v>
      </c>
      <c r="L152">
        <v>8</v>
      </c>
      <c r="M152">
        <v>1822.29</v>
      </c>
      <c r="N152">
        <v>20</v>
      </c>
      <c r="U152" s="21"/>
      <c r="V152" s="21"/>
    </row>
    <row r="153" spans="1:22">
      <c r="A153">
        <v>10124</v>
      </c>
      <c r="B153">
        <v>1216</v>
      </c>
      <c r="C153" s="21">
        <v>45199</v>
      </c>
      <c r="D153" s="21">
        <v>45200</v>
      </c>
      <c r="E153" t="s">
        <v>15</v>
      </c>
      <c r="F153" t="s">
        <v>40</v>
      </c>
      <c r="G153" t="s">
        <v>23</v>
      </c>
      <c r="H153" t="s">
        <v>17</v>
      </c>
      <c r="I153" t="s">
        <v>25</v>
      </c>
      <c r="J153" t="s">
        <v>60</v>
      </c>
      <c r="K153" t="s">
        <v>32</v>
      </c>
      <c r="L153">
        <v>9</v>
      </c>
      <c r="M153">
        <v>961.91</v>
      </c>
      <c r="N153">
        <v>15</v>
      </c>
      <c r="U153" s="21"/>
      <c r="V153" s="21"/>
    </row>
    <row r="154" spans="1:22">
      <c r="A154">
        <v>10125</v>
      </c>
      <c r="B154">
        <v>1763</v>
      </c>
      <c r="C154" s="21">
        <v>45045</v>
      </c>
      <c r="D154" s="21">
        <v>45052</v>
      </c>
      <c r="E154" t="s">
        <v>15</v>
      </c>
      <c r="F154" t="s">
        <v>22</v>
      </c>
      <c r="G154" t="s">
        <v>29</v>
      </c>
      <c r="H154" t="s">
        <v>43</v>
      </c>
      <c r="I154" t="s">
        <v>51</v>
      </c>
      <c r="J154" t="s">
        <v>63</v>
      </c>
      <c r="K154" t="s">
        <v>46</v>
      </c>
      <c r="L154">
        <v>9</v>
      </c>
      <c r="M154">
        <v>3450.19</v>
      </c>
      <c r="N154">
        <v>0</v>
      </c>
      <c r="U154" s="21"/>
      <c r="V154" s="21"/>
    </row>
    <row r="155" spans="1:22">
      <c r="A155">
        <v>10240</v>
      </c>
      <c r="B155">
        <v>1376</v>
      </c>
      <c r="C155" s="21">
        <v>45196</v>
      </c>
      <c r="D155" s="21">
        <v>45198</v>
      </c>
      <c r="E155" t="s">
        <v>15</v>
      </c>
      <c r="F155" t="s">
        <v>37</v>
      </c>
      <c r="G155" t="s">
        <v>16</v>
      </c>
      <c r="H155" t="s">
        <v>41</v>
      </c>
      <c r="I155" t="s">
        <v>56</v>
      </c>
      <c r="J155" t="s">
        <v>65</v>
      </c>
      <c r="K155" t="s">
        <v>44</v>
      </c>
      <c r="L155">
        <v>9</v>
      </c>
      <c r="M155">
        <v>265.58</v>
      </c>
      <c r="N155">
        <v>10</v>
      </c>
      <c r="U155" s="21"/>
      <c r="V155" s="21"/>
    </row>
    <row r="156" spans="1:22">
      <c r="A156">
        <v>10356</v>
      </c>
      <c r="B156">
        <v>1150</v>
      </c>
      <c r="C156" s="21">
        <v>45093</v>
      </c>
      <c r="D156" s="21">
        <v>45102</v>
      </c>
      <c r="E156" t="s">
        <v>15</v>
      </c>
      <c r="F156" t="s">
        <v>37</v>
      </c>
      <c r="G156" t="s">
        <v>29</v>
      </c>
      <c r="H156" t="s">
        <v>41</v>
      </c>
      <c r="I156" t="s">
        <v>30</v>
      </c>
      <c r="J156" t="s">
        <v>47</v>
      </c>
      <c r="K156" t="s">
        <v>20</v>
      </c>
      <c r="L156">
        <v>9</v>
      </c>
      <c r="M156">
        <v>1259.77</v>
      </c>
      <c r="N156">
        <v>15</v>
      </c>
      <c r="U156" s="21"/>
      <c r="V156" s="21"/>
    </row>
    <row r="157" spans="1:22">
      <c r="A157">
        <v>10486</v>
      </c>
      <c r="B157">
        <v>1115</v>
      </c>
      <c r="C157" s="21">
        <v>45068</v>
      </c>
      <c r="D157" s="21">
        <v>45077</v>
      </c>
      <c r="E157" t="s">
        <v>15</v>
      </c>
      <c r="F157" t="s">
        <v>40</v>
      </c>
      <c r="G157" t="s">
        <v>23</v>
      </c>
      <c r="H157" t="s">
        <v>41</v>
      </c>
      <c r="I157" t="s">
        <v>48</v>
      </c>
      <c r="J157" t="s">
        <v>62</v>
      </c>
      <c r="K157" t="s">
        <v>32</v>
      </c>
      <c r="L157">
        <v>9</v>
      </c>
      <c r="M157">
        <v>775.77</v>
      </c>
      <c r="N157">
        <v>0</v>
      </c>
      <c r="U157" s="21"/>
      <c r="V157" s="21"/>
    </row>
    <row r="158" spans="1:22">
      <c r="A158">
        <v>10047</v>
      </c>
      <c r="B158">
        <v>1782</v>
      </c>
      <c r="C158" s="21">
        <v>44976</v>
      </c>
      <c r="D158" s="21">
        <v>44985</v>
      </c>
      <c r="E158" t="s">
        <v>39</v>
      </c>
      <c r="F158" t="s">
        <v>40</v>
      </c>
      <c r="G158" t="s">
        <v>16</v>
      </c>
      <c r="H158" t="s">
        <v>17</v>
      </c>
      <c r="I158" t="s">
        <v>56</v>
      </c>
      <c r="J158" t="s">
        <v>61</v>
      </c>
      <c r="K158" t="s">
        <v>46</v>
      </c>
      <c r="L158">
        <v>1</v>
      </c>
      <c r="M158">
        <v>1769.93</v>
      </c>
      <c r="N158">
        <v>20</v>
      </c>
      <c r="U158" s="21"/>
      <c r="V158" s="21"/>
    </row>
    <row r="159" spans="1:22">
      <c r="A159">
        <v>10073</v>
      </c>
      <c r="B159">
        <v>1564</v>
      </c>
      <c r="C159" s="21">
        <v>45055</v>
      </c>
      <c r="D159" s="21">
        <v>45063</v>
      </c>
      <c r="E159" t="s">
        <v>39</v>
      </c>
      <c r="F159" t="s">
        <v>15</v>
      </c>
      <c r="G159" t="s">
        <v>16</v>
      </c>
      <c r="H159" t="s">
        <v>24</v>
      </c>
      <c r="I159" t="s">
        <v>48</v>
      </c>
      <c r="J159" t="s">
        <v>66</v>
      </c>
      <c r="K159" t="s">
        <v>20</v>
      </c>
      <c r="L159">
        <v>1</v>
      </c>
      <c r="M159">
        <v>3037.61</v>
      </c>
      <c r="N159">
        <v>5</v>
      </c>
      <c r="U159" s="21"/>
      <c r="V159" s="21"/>
    </row>
    <row r="160" spans="1:22">
      <c r="A160">
        <v>10133</v>
      </c>
      <c r="B160">
        <v>1064</v>
      </c>
      <c r="C160" s="21">
        <v>45262</v>
      </c>
      <c r="D160" s="21">
        <v>45267</v>
      </c>
      <c r="E160" t="s">
        <v>39</v>
      </c>
      <c r="F160" t="s">
        <v>15</v>
      </c>
      <c r="G160" t="s">
        <v>16</v>
      </c>
      <c r="H160" t="s">
        <v>17</v>
      </c>
      <c r="I160" t="s">
        <v>30</v>
      </c>
      <c r="J160" t="s">
        <v>47</v>
      </c>
      <c r="K160" t="s">
        <v>27</v>
      </c>
      <c r="L160">
        <v>1</v>
      </c>
      <c r="M160">
        <v>3990.85</v>
      </c>
      <c r="N160">
        <v>0</v>
      </c>
      <c r="U160" s="21"/>
      <c r="V160" s="21"/>
    </row>
    <row r="161" spans="1:22">
      <c r="A161">
        <v>10267</v>
      </c>
      <c r="B161">
        <v>1691</v>
      </c>
      <c r="C161" s="21">
        <v>45074</v>
      </c>
      <c r="D161" s="21">
        <v>45079</v>
      </c>
      <c r="E161" t="s">
        <v>39</v>
      </c>
      <c r="F161" t="s">
        <v>37</v>
      </c>
      <c r="G161" t="s">
        <v>29</v>
      </c>
      <c r="H161" t="s">
        <v>43</v>
      </c>
      <c r="I161" t="s">
        <v>51</v>
      </c>
      <c r="J161" t="s">
        <v>52</v>
      </c>
      <c r="K161" t="s">
        <v>46</v>
      </c>
      <c r="L161">
        <v>1</v>
      </c>
      <c r="M161">
        <v>900.78</v>
      </c>
      <c r="N161">
        <v>5</v>
      </c>
      <c r="U161" s="21"/>
      <c r="V161" s="21"/>
    </row>
    <row r="162" spans="1:22">
      <c r="A162">
        <v>10313</v>
      </c>
      <c r="B162">
        <v>1836</v>
      </c>
      <c r="C162" s="21">
        <v>44992</v>
      </c>
      <c r="D162" s="21">
        <v>44997</v>
      </c>
      <c r="E162" t="s">
        <v>39</v>
      </c>
      <c r="F162" t="s">
        <v>40</v>
      </c>
      <c r="G162" t="s">
        <v>16</v>
      </c>
      <c r="H162" t="s">
        <v>34</v>
      </c>
      <c r="I162" t="s">
        <v>56</v>
      </c>
      <c r="J162" t="s">
        <v>61</v>
      </c>
      <c r="K162" t="s">
        <v>44</v>
      </c>
      <c r="L162">
        <v>1</v>
      </c>
      <c r="M162">
        <v>3251.27</v>
      </c>
      <c r="N162">
        <v>15</v>
      </c>
      <c r="U162" s="21"/>
      <c r="V162" s="21"/>
    </row>
    <row r="163" spans="1:22">
      <c r="A163">
        <v>10329</v>
      </c>
      <c r="B163">
        <v>1770</v>
      </c>
      <c r="C163" s="21">
        <v>44975</v>
      </c>
      <c r="D163" s="21">
        <v>44976</v>
      </c>
      <c r="E163" t="s">
        <v>39</v>
      </c>
      <c r="F163" t="s">
        <v>37</v>
      </c>
      <c r="G163" t="s">
        <v>16</v>
      </c>
      <c r="H163" t="s">
        <v>43</v>
      </c>
      <c r="I163" t="s">
        <v>25</v>
      </c>
      <c r="J163" t="s">
        <v>26</v>
      </c>
      <c r="K163" t="s">
        <v>46</v>
      </c>
      <c r="L163">
        <v>1</v>
      </c>
      <c r="M163">
        <v>3171.36</v>
      </c>
      <c r="N163">
        <v>20</v>
      </c>
      <c r="U163" s="21"/>
      <c r="V163" s="21"/>
    </row>
    <row r="164" spans="1:22">
      <c r="A164">
        <v>10390</v>
      </c>
      <c r="B164">
        <v>1586</v>
      </c>
      <c r="C164" s="21">
        <v>45102</v>
      </c>
      <c r="D164" s="21">
        <v>45103</v>
      </c>
      <c r="E164" t="s">
        <v>39</v>
      </c>
      <c r="F164" t="s">
        <v>53</v>
      </c>
      <c r="G164" t="s">
        <v>23</v>
      </c>
      <c r="H164" t="s">
        <v>34</v>
      </c>
      <c r="I164" t="s">
        <v>30</v>
      </c>
      <c r="J164" t="s">
        <v>47</v>
      </c>
      <c r="K164" t="s">
        <v>46</v>
      </c>
      <c r="L164">
        <v>1</v>
      </c>
      <c r="M164">
        <v>2430.36</v>
      </c>
      <c r="N164">
        <v>15</v>
      </c>
      <c r="U164" s="21"/>
      <c r="V164" s="21"/>
    </row>
    <row r="165" spans="1:22">
      <c r="A165">
        <v>10064</v>
      </c>
      <c r="B165">
        <v>1166</v>
      </c>
      <c r="C165" s="21">
        <v>45207</v>
      </c>
      <c r="D165" s="21">
        <v>45216</v>
      </c>
      <c r="E165" t="s">
        <v>39</v>
      </c>
      <c r="F165" t="s">
        <v>15</v>
      </c>
      <c r="G165" t="s">
        <v>29</v>
      </c>
      <c r="H165" t="s">
        <v>17</v>
      </c>
      <c r="I165" t="s">
        <v>25</v>
      </c>
      <c r="J165" t="s">
        <v>35</v>
      </c>
      <c r="K165" t="s">
        <v>46</v>
      </c>
      <c r="L165">
        <v>2</v>
      </c>
      <c r="M165">
        <v>1041.2</v>
      </c>
      <c r="N165">
        <v>15</v>
      </c>
      <c r="U165" s="21"/>
      <c r="V165" s="21"/>
    </row>
    <row r="166" spans="1:22">
      <c r="A166">
        <v>10084</v>
      </c>
      <c r="B166">
        <v>1034</v>
      </c>
      <c r="C166" s="21">
        <v>45157</v>
      </c>
      <c r="D166" s="21">
        <v>45166</v>
      </c>
      <c r="E166" t="s">
        <v>39</v>
      </c>
      <c r="F166" t="s">
        <v>28</v>
      </c>
      <c r="G166" t="s">
        <v>29</v>
      </c>
      <c r="H166" t="s">
        <v>43</v>
      </c>
      <c r="I166" t="s">
        <v>51</v>
      </c>
      <c r="J166" t="s">
        <v>55</v>
      </c>
      <c r="K166" t="s">
        <v>32</v>
      </c>
      <c r="L166">
        <v>2</v>
      </c>
      <c r="M166">
        <v>2145.36</v>
      </c>
      <c r="N166">
        <v>20</v>
      </c>
      <c r="U166" s="21"/>
      <c r="V166" s="21"/>
    </row>
    <row r="167" spans="1:22">
      <c r="A167">
        <v>10096</v>
      </c>
      <c r="B167">
        <v>1821</v>
      </c>
      <c r="C167" s="21">
        <v>44940</v>
      </c>
      <c r="D167" s="21">
        <v>44947</v>
      </c>
      <c r="E167" t="s">
        <v>39</v>
      </c>
      <c r="F167" t="s">
        <v>15</v>
      </c>
      <c r="G167" t="s">
        <v>16</v>
      </c>
      <c r="H167" t="s">
        <v>24</v>
      </c>
      <c r="I167" t="s">
        <v>51</v>
      </c>
      <c r="J167" t="s">
        <v>59</v>
      </c>
      <c r="K167" t="s">
        <v>32</v>
      </c>
      <c r="L167">
        <v>2</v>
      </c>
      <c r="M167">
        <v>1249.94</v>
      </c>
      <c r="N167">
        <v>10</v>
      </c>
      <c r="U167" s="21"/>
      <c r="V167" s="21"/>
    </row>
    <row r="168" spans="1:22">
      <c r="A168">
        <v>10154</v>
      </c>
      <c r="B168">
        <v>1027</v>
      </c>
      <c r="C168" s="21">
        <v>45118</v>
      </c>
      <c r="D168" s="21">
        <v>45126</v>
      </c>
      <c r="E168" t="s">
        <v>39</v>
      </c>
      <c r="F168" t="s">
        <v>22</v>
      </c>
      <c r="G168" t="s">
        <v>16</v>
      </c>
      <c r="H168" t="s">
        <v>41</v>
      </c>
      <c r="I168" t="s">
        <v>18</v>
      </c>
      <c r="J168" t="s">
        <v>42</v>
      </c>
      <c r="K168" t="s">
        <v>44</v>
      </c>
      <c r="L168">
        <v>2</v>
      </c>
      <c r="M168">
        <v>764.56</v>
      </c>
      <c r="N168">
        <v>0</v>
      </c>
      <c r="U168" s="21"/>
      <c r="V168" s="21"/>
    </row>
    <row r="169" spans="1:22">
      <c r="A169">
        <v>10444</v>
      </c>
      <c r="B169">
        <v>1437</v>
      </c>
      <c r="C169" s="21">
        <v>44960</v>
      </c>
      <c r="D169" s="21">
        <v>44969</v>
      </c>
      <c r="E169" t="s">
        <v>39</v>
      </c>
      <c r="F169" t="s">
        <v>37</v>
      </c>
      <c r="G169" t="s">
        <v>29</v>
      </c>
      <c r="H169" t="s">
        <v>17</v>
      </c>
      <c r="I169" t="s">
        <v>30</v>
      </c>
      <c r="J169" t="s">
        <v>31</v>
      </c>
      <c r="K169" t="s">
        <v>20</v>
      </c>
      <c r="L169">
        <v>2</v>
      </c>
      <c r="M169">
        <v>3904.44</v>
      </c>
      <c r="N169">
        <v>10</v>
      </c>
      <c r="U169" s="21"/>
      <c r="V169" s="21"/>
    </row>
    <row r="170" spans="1:22">
      <c r="A170">
        <v>10006</v>
      </c>
      <c r="B170">
        <v>1071</v>
      </c>
      <c r="C170" s="21">
        <v>45260</v>
      </c>
      <c r="D170" s="21">
        <v>45263</v>
      </c>
      <c r="E170" t="s">
        <v>39</v>
      </c>
      <c r="F170" t="s">
        <v>40</v>
      </c>
      <c r="G170" t="s">
        <v>23</v>
      </c>
      <c r="H170" t="s">
        <v>41</v>
      </c>
      <c r="I170" t="s">
        <v>18</v>
      </c>
      <c r="J170" t="s">
        <v>42</v>
      </c>
      <c r="K170" t="s">
        <v>32</v>
      </c>
      <c r="L170">
        <v>3</v>
      </c>
      <c r="M170">
        <v>3189.55</v>
      </c>
      <c r="N170">
        <v>10</v>
      </c>
      <c r="U170" s="21"/>
      <c r="V170" s="21"/>
    </row>
    <row r="171" spans="1:22">
      <c r="A171">
        <v>10095</v>
      </c>
      <c r="B171">
        <v>1771</v>
      </c>
      <c r="C171" s="21">
        <v>45135</v>
      </c>
      <c r="D171" s="21">
        <v>45137</v>
      </c>
      <c r="E171" t="s">
        <v>39</v>
      </c>
      <c r="F171" t="s">
        <v>53</v>
      </c>
      <c r="G171" t="s">
        <v>29</v>
      </c>
      <c r="H171" t="s">
        <v>41</v>
      </c>
      <c r="I171" t="s">
        <v>48</v>
      </c>
      <c r="J171" t="s">
        <v>49</v>
      </c>
      <c r="K171" t="s">
        <v>46</v>
      </c>
      <c r="L171">
        <v>3</v>
      </c>
      <c r="M171">
        <v>1368.86</v>
      </c>
      <c r="N171">
        <v>10</v>
      </c>
      <c r="U171" s="21"/>
      <c r="V171" s="21"/>
    </row>
    <row r="172" spans="1:22">
      <c r="A172">
        <v>10188</v>
      </c>
      <c r="B172">
        <v>1206</v>
      </c>
      <c r="C172" s="21">
        <v>45064</v>
      </c>
      <c r="D172" s="21">
        <v>45070</v>
      </c>
      <c r="E172" t="s">
        <v>39</v>
      </c>
      <c r="F172" t="s">
        <v>53</v>
      </c>
      <c r="G172" t="s">
        <v>16</v>
      </c>
      <c r="H172" t="s">
        <v>24</v>
      </c>
      <c r="I172" t="s">
        <v>51</v>
      </c>
      <c r="J172" t="s">
        <v>52</v>
      </c>
      <c r="K172" t="s">
        <v>20</v>
      </c>
      <c r="L172">
        <v>3</v>
      </c>
      <c r="M172">
        <v>778.85</v>
      </c>
      <c r="N172">
        <v>10</v>
      </c>
      <c r="U172" s="21"/>
      <c r="V172" s="21"/>
    </row>
    <row r="173" spans="1:22">
      <c r="A173">
        <v>10257</v>
      </c>
      <c r="B173">
        <v>1233</v>
      </c>
      <c r="C173" s="21">
        <v>45289</v>
      </c>
      <c r="D173" s="21">
        <v>45297</v>
      </c>
      <c r="E173" t="s">
        <v>39</v>
      </c>
      <c r="F173" t="s">
        <v>40</v>
      </c>
      <c r="G173" t="s">
        <v>23</v>
      </c>
      <c r="H173" t="s">
        <v>43</v>
      </c>
      <c r="I173" t="s">
        <v>30</v>
      </c>
      <c r="J173" t="s">
        <v>31</v>
      </c>
      <c r="K173" t="s">
        <v>46</v>
      </c>
      <c r="L173">
        <v>3</v>
      </c>
      <c r="M173">
        <v>240.6</v>
      </c>
      <c r="N173">
        <v>5</v>
      </c>
      <c r="U173" s="21"/>
      <c r="V173" s="21"/>
    </row>
    <row r="174" spans="1:22">
      <c r="A174">
        <v>10271</v>
      </c>
      <c r="B174">
        <v>1441</v>
      </c>
      <c r="C174" s="21">
        <v>45068</v>
      </c>
      <c r="D174" s="21">
        <v>45072</v>
      </c>
      <c r="E174" t="s">
        <v>39</v>
      </c>
      <c r="F174" t="s">
        <v>15</v>
      </c>
      <c r="G174" t="s">
        <v>29</v>
      </c>
      <c r="H174" t="s">
        <v>24</v>
      </c>
      <c r="I174" t="s">
        <v>18</v>
      </c>
      <c r="J174" t="s">
        <v>68</v>
      </c>
      <c r="K174" t="s">
        <v>46</v>
      </c>
      <c r="L174">
        <v>3</v>
      </c>
      <c r="M174">
        <v>2469.5100000000002</v>
      </c>
      <c r="N174">
        <v>0</v>
      </c>
      <c r="U174" s="21"/>
      <c r="V174" s="21"/>
    </row>
    <row r="175" spans="1:22">
      <c r="A175">
        <v>10075</v>
      </c>
      <c r="B175">
        <v>1339</v>
      </c>
      <c r="C175" s="21">
        <v>45187</v>
      </c>
      <c r="D175" s="21">
        <v>45196</v>
      </c>
      <c r="E175" t="s">
        <v>39</v>
      </c>
      <c r="F175" t="s">
        <v>15</v>
      </c>
      <c r="G175" t="s">
        <v>29</v>
      </c>
      <c r="H175" t="s">
        <v>41</v>
      </c>
      <c r="I175" t="s">
        <v>56</v>
      </c>
      <c r="J175" t="s">
        <v>57</v>
      </c>
      <c r="K175" t="s">
        <v>44</v>
      </c>
      <c r="L175">
        <v>4</v>
      </c>
      <c r="M175">
        <v>2220.46</v>
      </c>
      <c r="N175">
        <v>0</v>
      </c>
      <c r="U175" s="21"/>
      <c r="V175" s="21"/>
    </row>
    <row r="176" spans="1:22">
      <c r="A176">
        <v>10146</v>
      </c>
      <c r="B176">
        <v>1674</v>
      </c>
      <c r="C176" s="21">
        <v>45137</v>
      </c>
      <c r="D176" s="21">
        <v>45145</v>
      </c>
      <c r="E176" t="s">
        <v>39</v>
      </c>
      <c r="F176" t="s">
        <v>40</v>
      </c>
      <c r="G176" t="s">
        <v>29</v>
      </c>
      <c r="H176" t="s">
        <v>41</v>
      </c>
      <c r="I176" t="s">
        <v>56</v>
      </c>
      <c r="J176" t="s">
        <v>61</v>
      </c>
      <c r="K176" t="s">
        <v>32</v>
      </c>
      <c r="L176">
        <v>4</v>
      </c>
      <c r="M176">
        <v>2326.87</v>
      </c>
      <c r="N176">
        <v>15</v>
      </c>
      <c r="U176" s="21"/>
      <c r="V176" s="21"/>
    </row>
    <row r="177" spans="1:22">
      <c r="A177">
        <v>10164</v>
      </c>
      <c r="B177">
        <v>1573</v>
      </c>
      <c r="C177" s="21">
        <v>45042</v>
      </c>
      <c r="D177" s="21">
        <v>45043</v>
      </c>
      <c r="E177" t="s">
        <v>39</v>
      </c>
      <c r="F177" t="s">
        <v>15</v>
      </c>
      <c r="G177" t="s">
        <v>23</v>
      </c>
      <c r="H177" t="s">
        <v>34</v>
      </c>
      <c r="I177" t="s">
        <v>51</v>
      </c>
      <c r="J177" t="s">
        <v>63</v>
      </c>
      <c r="K177" t="s">
        <v>44</v>
      </c>
      <c r="L177">
        <v>4</v>
      </c>
      <c r="M177">
        <v>288.33</v>
      </c>
      <c r="N177">
        <v>20</v>
      </c>
      <c r="U177" s="21"/>
      <c r="V177" s="21"/>
    </row>
    <row r="178" spans="1:22">
      <c r="A178">
        <v>10304</v>
      </c>
      <c r="B178">
        <v>1835</v>
      </c>
      <c r="C178" s="21">
        <v>45024</v>
      </c>
      <c r="D178" s="21">
        <v>45027</v>
      </c>
      <c r="E178" t="s">
        <v>39</v>
      </c>
      <c r="F178" t="s">
        <v>22</v>
      </c>
      <c r="G178" t="s">
        <v>23</v>
      </c>
      <c r="H178" t="s">
        <v>24</v>
      </c>
      <c r="I178" t="s">
        <v>25</v>
      </c>
      <c r="J178" t="s">
        <v>60</v>
      </c>
      <c r="K178" t="s">
        <v>20</v>
      </c>
      <c r="L178">
        <v>4</v>
      </c>
      <c r="M178">
        <v>2547.52</v>
      </c>
      <c r="N178">
        <v>20</v>
      </c>
      <c r="U178" s="21"/>
      <c r="V178" s="21"/>
    </row>
    <row r="179" spans="1:22">
      <c r="A179">
        <v>10487</v>
      </c>
      <c r="B179">
        <v>1190</v>
      </c>
      <c r="C179" s="21">
        <v>44965</v>
      </c>
      <c r="D179" s="21">
        <v>44966</v>
      </c>
      <c r="E179" t="s">
        <v>39</v>
      </c>
      <c r="F179" t="s">
        <v>15</v>
      </c>
      <c r="G179" t="s">
        <v>29</v>
      </c>
      <c r="H179" t="s">
        <v>24</v>
      </c>
      <c r="I179" t="s">
        <v>51</v>
      </c>
      <c r="J179" t="s">
        <v>52</v>
      </c>
      <c r="K179" t="s">
        <v>20</v>
      </c>
      <c r="L179">
        <v>4</v>
      </c>
      <c r="M179">
        <v>2751.14</v>
      </c>
      <c r="N179">
        <v>20</v>
      </c>
      <c r="U179" s="21"/>
      <c r="V179" s="21"/>
    </row>
    <row r="180" spans="1:22">
      <c r="A180">
        <v>10253</v>
      </c>
      <c r="B180">
        <v>1317</v>
      </c>
      <c r="C180" s="21">
        <v>45033</v>
      </c>
      <c r="D180" s="21">
        <v>45034</v>
      </c>
      <c r="E180" t="s">
        <v>39</v>
      </c>
      <c r="F180" t="s">
        <v>40</v>
      </c>
      <c r="G180" t="s">
        <v>23</v>
      </c>
      <c r="H180" t="s">
        <v>34</v>
      </c>
      <c r="I180" t="s">
        <v>18</v>
      </c>
      <c r="J180" t="s">
        <v>19</v>
      </c>
      <c r="K180" t="s">
        <v>46</v>
      </c>
      <c r="L180">
        <v>5</v>
      </c>
      <c r="M180">
        <v>2532.27</v>
      </c>
      <c r="N180">
        <v>15</v>
      </c>
      <c r="U180" s="21"/>
      <c r="V180" s="21"/>
    </row>
    <row r="181" spans="1:22">
      <c r="A181">
        <v>10028</v>
      </c>
      <c r="B181">
        <v>1385</v>
      </c>
      <c r="C181" s="21">
        <v>45164</v>
      </c>
      <c r="D181" s="21">
        <v>45172</v>
      </c>
      <c r="E181" t="s">
        <v>39</v>
      </c>
      <c r="F181" t="s">
        <v>22</v>
      </c>
      <c r="G181" t="s">
        <v>23</v>
      </c>
      <c r="H181" t="s">
        <v>24</v>
      </c>
      <c r="I181" t="s">
        <v>48</v>
      </c>
      <c r="J181" t="s">
        <v>50</v>
      </c>
      <c r="K181" t="s">
        <v>32</v>
      </c>
      <c r="L181">
        <v>6</v>
      </c>
      <c r="M181">
        <v>3206.63</v>
      </c>
      <c r="N181">
        <v>20</v>
      </c>
      <c r="U181" s="21"/>
      <c r="V181" s="21"/>
    </row>
    <row r="182" spans="1:22">
      <c r="A182">
        <v>10050</v>
      </c>
      <c r="B182">
        <v>1686</v>
      </c>
      <c r="C182" s="21">
        <v>44970</v>
      </c>
      <c r="D182" s="21">
        <v>44978</v>
      </c>
      <c r="E182" t="s">
        <v>39</v>
      </c>
      <c r="F182" t="s">
        <v>15</v>
      </c>
      <c r="G182" t="s">
        <v>16</v>
      </c>
      <c r="H182" t="s">
        <v>41</v>
      </c>
      <c r="I182" t="s">
        <v>25</v>
      </c>
      <c r="J182" t="s">
        <v>60</v>
      </c>
      <c r="K182" t="s">
        <v>27</v>
      </c>
      <c r="L182">
        <v>6</v>
      </c>
      <c r="M182">
        <v>1350.44</v>
      </c>
      <c r="N182">
        <v>20</v>
      </c>
      <c r="U182" s="21"/>
      <c r="V182" s="21"/>
    </row>
    <row r="183" spans="1:22">
      <c r="A183">
        <v>10063</v>
      </c>
      <c r="B183">
        <v>1840</v>
      </c>
      <c r="C183" s="21">
        <v>45034</v>
      </c>
      <c r="D183" s="21">
        <v>45043</v>
      </c>
      <c r="E183" t="s">
        <v>39</v>
      </c>
      <c r="F183" t="s">
        <v>22</v>
      </c>
      <c r="G183" t="s">
        <v>29</v>
      </c>
      <c r="H183" t="s">
        <v>41</v>
      </c>
      <c r="I183" t="s">
        <v>56</v>
      </c>
      <c r="J183" t="s">
        <v>61</v>
      </c>
      <c r="K183" t="s">
        <v>27</v>
      </c>
      <c r="L183">
        <v>6</v>
      </c>
      <c r="M183">
        <v>2645.71</v>
      </c>
      <c r="N183">
        <v>10</v>
      </c>
      <c r="U183" s="21"/>
      <c r="V183" s="21"/>
    </row>
    <row r="184" spans="1:22">
      <c r="A184">
        <v>10117</v>
      </c>
      <c r="B184">
        <v>1719</v>
      </c>
      <c r="C184" s="21">
        <v>45285</v>
      </c>
      <c r="D184" s="21">
        <v>45293</v>
      </c>
      <c r="E184" t="s">
        <v>39</v>
      </c>
      <c r="F184" t="s">
        <v>53</v>
      </c>
      <c r="G184" t="s">
        <v>16</v>
      </c>
      <c r="H184" t="s">
        <v>41</v>
      </c>
      <c r="I184" t="s">
        <v>56</v>
      </c>
      <c r="J184" t="s">
        <v>57</v>
      </c>
      <c r="K184" t="s">
        <v>46</v>
      </c>
      <c r="L184">
        <v>6</v>
      </c>
      <c r="M184">
        <v>3554.77</v>
      </c>
      <c r="N184">
        <v>20</v>
      </c>
      <c r="U184" s="21"/>
      <c r="V184" s="21"/>
    </row>
    <row r="185" spans="1:22">
      <c r="A185">
        <v>10135</v>
      </c>
      <c r="B185">
        <v>1838</v>
      </c>
      <c r="C185" s="21">
        <v>44981</v>
      </c>
      <c r="D185" s="21">
        <v>44990</v>
      </c>
      <c r="E185" t="s">
        <v>39</v>
      </c>
      <c r="F185" t="s">
        <v>15</v>
      </c>
      <c r="G185" t="s">
        <v>16</v>
      </c>
      <c r="H185" t="s">
        <v>24</v>
      </c>
      <c r="I185" t="s">
        <v>18</v>
      </c>
      <c r="J185" t="s">
        <v>42</v>
      </c>
      <c r="K185" t="s">
        <v>46</v>
      </c>
      <c r="L185">
        <v>6</v>
      </c>
      <c r="M185">
        <v>1919.66</v>
      </c>
      <c r="N185">
        <v>5</v>
      </c>
      <c r="U185" s="21"/>
      <c r="V185" s="21"/>
    </row>
    <row r="186" spans="1:22">
      <c r="A186">
        <v>10156</v>
      </c>
      <c r="B186">
        <v>1200</v>
      </c>
      <c r="C186" s="21">
        <v>45099</v>
      </c>
      <c r="D186" s="21">
        <v>45106</v>
      </c>
      <c r="E186" t="s">
        <v>39</v>
      </c>
      <c r="F186" t="s">
        <v>37</v>
      </c>
      <c r="G186" t="s">
        <v>23</v>
      </c>
      <c r="H186" t="s">
        <v>17</v>
      </c>
      <c r="I186" t="s">
        <v>56</v>
      </c>
      <c r="J186" t="s">
        <v>58</v>
      </c>
      <c r="K186" t="s">
        <v>44</v>
      </c>
      <c r="L186">
        <v>6</v>
      </c>
      <c r="M186">
        <v>445.71</v>
      </c>
      <c r="N186">
        <v>15</v>
      </c>
      <c r="U186" s="21"/>
      <c r="V186" s="21"/>
    </row>
    <row r="187" spans="1:22">
      <c r="A187">
        <v>10241</v>
      </c>
      <c r="B187">
        <v>1282</v>
      </c>
      <c r="C187" s="21">
        <v>45046</v>
      </c>
      <c r="D187" s="21">
        <v>45049</v>
      </c>
      <c r="E187" t="s">
        <v>39</v>
      </c>
      <c r="F187" t="s">
        <v>40</v>
      </c>
      <c r="G187" t="s">
        <v>29</v>
      </c>
      <c r="H187" t="s">
        <v>17</v>
      </c>
      <c r="I187" t="s">
        <v>18</v>
      </c>
      <c r="J187" t="s">
        <v>68</v>
      </c>
      <c r="K187" t="s">
        <v>32</v>
      </c>
      <c r="L187">
        <v>6</v>
      </c>
      <c r="M187">
        <v>1861.43</v>
      </c>
      <c r="N187">
        <v>0</v>
      </c>
      <c r="U187" s="21"/>
      <c r="V187" s="21"/>
    </row>
    <row r="188" spans="1:22">
      <c r="A188">
        <v>10035</v>
      </c>
      <c r="B188">
        <v>1021</v>
      </c>
      <c r="C188" s="21">
        <v>45012</v>
      </c>
      <c r="D188" s="21">
        <v>45013</v>
      </c>
      <c r="E188" t="s">
        <v>39</v>
      </c>
      <c r="F188" t="s">
        <v>28</v>
      </c>
      <c r="G188" t="s">
        <v>29</v>
      </c>
      <c r="H188" t="s">
        <v>43</v>
      </c>
      <c r="I188" t="s">
        <v>30</v>
      </c>
      <c r="J188" t="s">
        <v>47</v>
      </c>
      <c r="K188" t="s">
        <v>46</v>
      </c>
      <c r="L188">
        <v>7</v>
      </c>
      <c r="M188">
        <v>3664.64</v>
      </c>
      <c r="N188">
        <v>5</v>
      </c>
      <c r="U188" s="21"/>
      <c r="V188" s="21"/>
    </row>
    <row r="189" spans="1:22">
      <c r="A189">
        <v>10087</v>
      </c>
      <c r="B189">
        <v>1931</v>
      </c>
      <c r="C189" s="21">
        <v>45038</v>
      </c>
      <c r="D189" s="21">
        <v>45045</v>
      </c>
      <c r="E189" t="s">
        <v>39</v>
      </c>
      <c r="F189" t="s">
        <v>28</v>
      </c>
      <c r="G189" t="s">
        <v>16</v>
      </c>
      <c r="H189" t="s">
        <v>17</v>
      </c>
      <c r="I189" t="s">
        <v>30</v>
      </c>
      <c r="J189" t="s">
        <v>38</v>
      </c>
      <c r="K189" t="s">
        <v>46</v>
      </c>
      <c r="L189">
        <v>7</v>
      </c>
      <c r="M189">
        <v>1373.12</v>
      </c>
      <c r="N189">
        <v>5</v>
      </c>
      <c r="U189" s="21"/>
      <c r="V189" s="21"/>
    </row>
    <row r="190" spans="1:22">
      <c r="A190">
        <v>10120</v>
      </c>
      <c r="B190">
        <v>1878</v>
      </c>
      <c r="C190" s="21">
        <v>45186</v>
      </c>
      <c r="D190" s="21">
        <v>45187</v>
      </c>
      <c r="E190" t="s">
        <v>39</v>
      </c>
      <c r="F190" t="s">
        <v>22</v>
      </c>
      <c r="G190" t="s">
        <v>23</v>
      </c>
      <c r="H190" t="s">
        <v>41</v>
      </c>
      <c r="I190" t="s">
        <v>51</v>
      </c>
      <c r="J190" t="s">
        <v>52</v>
      </c>
      <c r="K190" t="s">
        <v>46</v>
      </c>
      <c r="L190">
        <v>7</v>
      </c>
      <c r="M190">
        <v>2894.46</v>
      </c>
      <c r="N190">
        <v>5</v>
      </c>
      <c r="U190" s="21"/>
      <c r="V190" s="21"/>
    </row>
    <row r="191" spans="1:22">
      <c r="A191">
        <v>10167</v>
      </c>
      <c r="B191">
        <v>1098</v>
      </c>
      <c r="C191" s="21">
        <v>45177</v>
      </c>
      <c r="D191" s="21">
        <v>45182</v>
      </c>
      <c r="E191" t="s">
        <v>39</v>
      </c>
      <c r="F191" t="s">
        <v>40</v>
      </c>
      <c r="G191" t="s">
        <v>29</v>
      </c>
      <c r="H191" t="s">
        <v>41</v>
      </c>
      <c r="I191" t="s">
        <v>30</v>
      </c>
      <c r="J191" t="s">
        <v>31</v>
      </c>
      <c r="K191" t="s">
        <v>44</v>
      </c>
      <c r="L191">
        <v>7</v>
      </c>
      <c r="M191">
        <v>1767.02</v>
      </c>
      <c r="N191">
        <v>15</v>
      </c>
      <c r="U191" s="21"/>
      <c r="V191" s="21"/>
    </row>
    <row r="192" spans="1:22">
      <c r="A192">
        <v>10178</v>
      </c>
      <c r="B192">
        <v>1642</v>
      </c>
      <c r="C192" s="21">
        <v>45124</v>
      </c>
      <c r="D192" s="21">
        <v>45126</v>
      </c>
      <c r="E192" t="s">
        <v>39</v>
      </c>
      <c r="F192" t="s">
        <v>28</v>
      </c>
      <c r="G192" t="s">
        <v>16</v>
      </c>
      <c r="H192" t="s">
        <v>17</v>
      </c>
      <c r="I192" t="s">
        <v>25</v>
      </c>
      <c r="J192" t="s">
        <v>60</v>
      </c>
      <c r="K192" t="s">
        <v>44</v>
      </c>
      <c r="L192">
        <v>7</v>
      </c>
      <c r="M192">
        <v>174.09</v>
      </c>
      <c r="N192">
        <v>10</v>
      </c>
      <c r="U192" s="21"/>
      <c r="V192" s="21"/>
    </row>
    <row r="193" spans="1:22">
      <c r="A193">
        <v>10191</v>
      </c>
      <c r="B193">
        <v>1553</v>
      </c>
      <c r="C193" s="21">
        <v>45033</v>
      </c>
      <c r="D193" s="21">
        <v>45039</v>
      </c>
      <c r="E193" t="s">
        <v>39</v>
      </c>
      <c r="F193" t="s">
        <v>28</v>
      </c>
      <c r="G193" t="s">
        <v>29</v>
      </c>
      <c r="H193" t="s">
        <v>34</v>
      </c>
      <c r="I193" t="s">
        <v>51</v>
      </c>
      <c r="J193" t="s">
        <v>55</v>
      </c>
      <c r="K193" t="s">
        <v>20</v>
      </c>
      <c r="L193">
        <v>7</v>
      </c>
      <c r="M193">
        <v>1148.6500000000001</v>
      </c>
      <c r="N193">
        <v>15</v>
      </c>
      <c r="U193" s="21"/>
      <c r="V193" s="21"/>
    </row>
    <row r="194" spans="1:22">
      <c r="A194">
        <v>10263</v>
      </c>
      <c r="B194">
        <v>1671</v>
      </c>
      <c r="C194" s="21">
        <v>45053</v>
      </c>
      <c r="D194" s="21">
        <v>45059</v>
      </c>
      <c r="E194" t="s">
        <v>39</v>
      </c>
      <c r="F194" t="s">
        <v>37</v>
      </c>
      <c r="G194" t="s">
        <v>29</v>
      </c>
      <c r="H194" t="s">
        <v>34</v>
      </c>
      <c r="I194" t="s">
        <v>48</v>
      </c>
      <c r="J194" t="s">
        <v>62</v>
      </c>
      <c r="K194" t="s">
        <v>32</v>
      </c>
      <c r="L194">
        <v>7</v>
      </c>
      <c r="M194">
        <v>2165.86</v>
      </c>
      <c r="N194">
        <v>0</v>
      </c>
      <c r="U194" s="21"/>
      <c r="V194" s="21"/>
    </row>
    <row r="195" spans="1:22">
      <c r="A195">
        <v>10448</v>
      </c>
      <c r="B195">
        <v>1225</v>
      </c>
      <c r="C195" s="21">
        <v>45240</v>
      </c>
      <c r="D195" s="21">
        <v>45247</v>
      </c>
      <c r="E195" t="s">
        <v>39</v>
      </c>
      <c r="F195" t="s">
        <v>37</v>
      </c>
      <c r="G195" t="s">
        <v>29</v>
      </c>
      <c r="H195" t="s">
        <v>17</v>
      </c>
      <c r="I195" t="s">
        <v>18</v>
      </c>
      <c r="J195" t="s">
        <v>19</v>
      </c>
      <c r="K195" t="s">
        <v>32</v>
      </c>
      <c r="L195">
        <v>7</v>
      </c>
      <c r="M195">
        <v>2568.2600000000002</v>
      </c>
      <c r="N195">
        <v>10</v>
      </c>
      <c r="U195" s="21"/>
      <c r="V195" s="21"/>
    </row>
    <row r="196" spans="1:22">
      <c r="A196">
        <v>10493</v>
      </c>
      <c r="B196">
        <v>1255</v>
      </c>
      <c r="C196" s="21">
        <v>45041</v>
      </c>
      <c r="D196" s="21">
        <v>45043</v>
      </c>
      <c r="E196" t="s">
        <v>39</v>
      </c>
      <c r="F196" t="s">
        <v>15</v>
      </c>
      <c r="G196" t="s">
        <v>23</v>
      </c>
      <c r="H196" t="s">
        <v>43</v>
      </c>
      <c r="I196" t="s">
        <v>48</v>
      </c>
      <c r="J196" t="s">
        <v>66</v>
      </c>
      <c r="K196" t="s">
        <v>27</v>
      </c>
      <c r="L196">
        <v>7</v>
      </c>
      <c r="M196">
        <v>1550.03</v>
      </c>
      <c r="N196">
        <v>10</v>
      </c>
      <c r="U196" s="21"/>
      <c r="V196" s="21"/>
    </row>
    <row r="197" spans="1:22">
      <c r="A197">
        <v>10054</v>
      </c>
      <c r="B197">
        <v>1566</v>
      </c>
      <c r="C197" s="21">
        <v>45279</v>
      </c>
      <c r="D197" s="21">
        <v>45281</v>
      </c>
      <c r="E197" t="s">
        <v>39</v>
      </c>
      <c r="F197" t="s">
        <v>22</v>
      </c>
      <c r="G197" t="s">
        <v>23</v>
      </c>
      <c r="H197" t="s">
        <v>24</v>
      </c>
      <c r="I197" t="s">
        <v>48</v>
      </c>
      <c r="J197" t="s">
        <v>49</v>
      </c>
      <c r="K197" t="s">
        <v>20</v>
      </c>
      <c r="L197">
        <v>8</v>
      </c>
      <c r="M197">
        <v>1428.62</v>
      </c>
      <c r="N197">
        <v>10</v>
      </c>
      <c r="U197" s="21"/>
      <c r="V197" s="21"/>
    </row>
    <row r="198" spans="1:22">
      <c r="A198">
        <v>10059</v>
      </c>
      <c r="B198">
        <v>1484</v>
      </c>
      <c r="C198" s="21">
        <v>44945</v>
      </c>
      <c r="D198" s="21">
        <v>44950</v>
      </c>
      <c r="E198" t="s">
        <v>39</v>
      </c>
      <c r="F198" t="s">
        <v>40</v>
      </c>
      <c r="G198" t="s">
        <v>23</v>
      </c>
      <c r="H198" t="s">
        <v>41</v>
      </c>
      <c r="I198" t="s">
        <v>51</v>
      </c>
      <c r="J198" t="s">
        <v>63</v>
      </c>
      <c r="K198" t="s">
        <v>32</v>
      </c>
      <c r="L198">
        <v>8</v>
      </c>
      <c r="M198">
        <v>2122.36</v>
      </c>
      <c r="N198">
        <v>0</v>
      </c>
      <c r="U198" s="21"/>
      <c r="V198" s="21"/>
    </row>
    <row r="199" spans="1:22">
      <c r="A199">
        <v>10144</v>
      </c>
      <c r="B199">
        <v>1592</v>
      </c>
      <c r="C199" s="21">
        <v>45231</v>
      </c>
      <c r="D199" s="21">
        <v>45234</v>
      </c>
      <c r="E199" t="s">
        <v>39</v>
      </c>
      <c r="F199" t="s">
        <v>53</v>
      </c>
      <c r="G199" t="s">
        <v>29</v>
      </c>
      <c r="H199" t="s">
        <v>17</v>
      </c>
      <c r="I199" t="s">
        <v>18</v>
      </c>
      <c r="J199" t="s">
        <v>54</v>
      </c>
      <c r="K199" t="s">
        <v>32</v>
      </c>
      <c r="L199">
        <v>8</v>
      </c>
      <c r="M199">
        <v>3138.72</v>
      </c>
      <c r="N199">
        <v>20</v>
      </c>
      <c r="U199" s="21"/>
      <c r="V199" s="21"/>
    </row>
    <row r="200" spans="1:22">
      <c r="A200">
        <v>10209</v>
      </c>
      <c r="B200">
        <v>1540</v>
      </c>
      <c r="C200" s="21">
        <v>45187</v>
      </c>
      <c r="D200" s="21">
        <v>45193</v>
      </c>
      <c r="E200" t="s">
        <v>39</v>
      </c>
      <c r="F200" t="s">
        <v>15</v>
      </c>
      <c r="G200" t="s">
        <v>16</v>
      </c>
      <c r="H200" t="s">
        <v>41</v>
      </c>
      <c r="I200" t="s">
        <v>48</v>
      </c>
      <c r="J200" t="s">
        <v>49</v>
      </c>
      <c r="K200" t="s">
        <v>44</v>
      </c>
      <c r="L200">
        <v>8</v>
      </c>
      <c r="M200">
        <v>1291.1099999999999</v>
      </c>
      <c r="N200">
        <v>15</v>
      </c>
      <c r="U200" s="21"/>
      <c r="V200" s="21"/>
    </row>
    <row r="201" spans="1:22">
      <c r="A201">
        <v>10266</v>
      </c>
      <c r="B201">
        <v>1232</v>
      </c>
      <c r="C201" s="21">
        <v>45129</v>
      </c>
      <c r="D201" s="21">
        <v>45134</v>
      </c>
      <c r="E201" t="s">
        <v>39</v>
      </c>
      <c r="F201" t="s">
        <v>15</v>
      </c>
      <c r="G201" t="s">
        <v>29</v>
      </c>
      <c r="H201" t="s">
        <v>34</v>
      </c>
      <c r="I201" t="s">
        <v>25</v>
      </c>
      <c r="J201" t="s">
        <v>60</v>
      </c>
      <c r="K201" t="s">
        <v>32</v>
      </c>
      <c r="L201">
        <v>8</v>
      </c>
      <c r="M201">
        <v>2045.09</v>
      </c>
      <c r="N201">
        <v>10</v>
      </c>
      <c r="U201" s="21"/>
      <c r="V201" s="21"/>
    </row>
    <row r="202" spans="1:22">
      <c r="A202">
        <v>10393</v>
      </c>
      <c r="B202">
        <v>1419</v>
      </c>
      <c r="C202" s="21">
        <v>45186</v>
      </c>
      <c r="D202" s="21">
        <v>45191</v>
      </c>
      <c r="E202" t="s">
        <v>39</v>
      </c>
      <c r="F202" t="s">
        <v>22</v>
      </c>
      <c r="G202" t="s">
        <v>23</v>
      </c>
      <c r="H202" t="s">
        <v>34</v>
      </c>
      <c r="I202" t="s">
        <v>51</v>
      </c>
      <c r="J202" t="s">
        <v>59</v>
      </c>
      <c r="K202" t="s">
        <v>44</v>
      </c>
      <c r="L202">
        <v>8</v>
      </c>
      <c r="M202">
        <v>2993.25</v>
      </c>
      <c r="N202">
        <v>10</v>
      </c>
      <c r="U202" s="21"/>
      <c r="V202" s="21"/>
    </row>
    <row r="203" spans="1:22">
      <c r="A203">
        <v>10418</v>
      </c>
      <c r="B203">
        <v>1800</v>
      </c>
      <c r="C203" s="21">
        <v>45279</v>
      </c>
      <c r="D203" s="21">
        <v>45280</v>
      </c>
      <c r="E203" t="s">
        <v>39</v>
      </c>
      <c r="F203" t="s">
        <v>53</v>
      </c>
      <c r="G203" t="s">
        <v>23</v>
      </c>
      <c r="H203" t="s">
        <v>34</v>
      </c>
      <c r="I203" t="s">
        <v>51</v>
      </c>
      <c r="J203" t="s">
        <v>55</v>
      </c>
      <c r="K203" t="s">
        <v>32</v>
      </c>
      <c r="L203">
        <v>8</v>
      </c>
      <c r="M203">
        <v>3905.57</v>
      </c>
      <c r="N203">
        <v>10</v>
      </c>
      <c r="U203" s="21"/>
      <c r="V203" s="21"/>
    </row>
    <row r="204" spans="1:22">
      <c r="A204">
        <v>10015</v>
      </c>
      <c r="B204">
        <v>1087</v>
      </c>
      <c r="C204" s="21">
        <v>45048</v>
      </c>
      <c r="D204" s="21">
        <v>45057</v>
      </c>
      <c r="E204" t="s">
        <v>39</v>
      </c>
      <c r="F204" t="s">
        <v>22</v>
      </c>
      <c r="G204" t="s">
        <v>23</v>
      </c>
      <c r="H204" t="s">
        <v>17</v>
      </c>
      <c r="I204" t="s">
        <v>51</v>
      </c>
      <c r="J204" t="s">
        <v>52</v>
      </c>
      <c r="K204" t="s">
        <v>20</v>
      </c>
      <c r="L204">
        <v>9</v>
      </c>
      <c r="M204">
        <v>705.59</v>
      </c>
      <c r="N204">
        <v>10</v>
      </c>
      <c r="U204" s="21"/>
      <c r="V204" s="21"/>
    </row>
    <row r="205" spans="1:22">
      <c r="A205">
        <v>10093</v>
      </c>
      <c r="B205">
        <v>1565</v>
      </c>
      <c r="C205" s="21">
        <v>44980</v>
      </c>
      <c r="D205" s="21">
        <v>44982</v>
      </c>
      <c r="E205" t="s">
        <v>39</v>
      </c>
      <c r="F205" t="s">
        <v>28</v>
      </c>
      <c r="G205" t="s">
        <v>16</v>
      </c>
      <c r="H205" t="s">
        <v>41</v>
      </c>
      <c r="I205" t="s">
        <v>51</v>
      </c>
      <c r="J205" t="s">
        <v>55</v>
      </c>
      <c r="K205" t="s">
        <v>32</v>
      </c>
      <c r="L205">
        <v>9</v>
      </c>
      <c r="M205">
        <v>1938.76</v>
      </c>
      <c r="N205">
        <v>20</v>
      </c>
      <c r="U205" s="21"/>
      <c r="V205" s="21"/>
    </row>
    <row r="206" spans="1:22">
      <c r="A206">
        <v>10114</v>
      </c>
      <c r="B206">
        <v>1701</v>
      </c>
      <c r="C206" s="21">
        <v>45219</v>
      </c>
      <c r="D206" s="21">
        <v>45227</v>
      </c>
      <c r="E206" t="s">
        <v>39</v>
      </c>
      <c r="F206" t="s">
        <v>22</v>
      </c>
      <c r="G206" t="s">
        <v>29</v>
      </c>
      <c r="H206" t="s">
        <v>24</v>
      </c>
      <c r="I206" t="s">
        <v>25</v>
      </c>
      <c r="J206" t="s">
        <v>67</v>
      </c>
      <c r="K206" t="s">
        <v>44</v>
      </c>
      <c r="L206">
        <v>9</v>
      </c>
      <c r="M206">
        <v>1206.3800000000001</v>
      </c>
      <c r="N206">
        <v>10</v>
      </c>
      <c r="U206" s="21"/>
      <c r="V206" s="21"/>
    </row>
    <row r="207" spans="1:22">
      <c r="A207">
        <v>10202</v>
      </c>
      <c r="B207">
        <v>1733</v>
      </c>
      <c r="C207" s="21">
        <v>45228</v>
      </c>
      <c r="D207" s="21">
        <v>45229</v>
      </c>
      <c r="E207" t="s">
        <v>39</v>
      </c>
      <c r="F207" t="s">
        <v>53</v>
      </c>
      <c r="G207" t="s">
        <v>16</v>
      </c>
      <c r="H207" t="s">
        <v>17</v>
      </c>
      <c r="I207" t="s">
        <v>30</v>
      </c>
      <c r="J207" t="s">
        <v>64</v>
      </c>
      <c r="K207" t="s">
        <v>27</v>
      </c>
      <c r="L207">
        <v>9</v>
      </c>
      <c r="M207">
        <v>3072.48</v>
      </c>
      <c r="N207">
        <v>0</v>
      </c>
      <c r="U207" s="21"/>
      <c r="V207" s="21"/>
    </row>
    <row r="208" spans="1:22">
      <c r="A208">
        <v>10235</v>
      </c>
      <c r="B208">
        <v>1472</v>
      </c>
      <c r="C208" s="21">
        <v>45032</v>
      </c>
      <c r="D208" s="21">
        <v>45040</v>
      </c>
      <c r="E208" t="s">
        <v>39</v>
      </c>
      <c r="F208" t="s">
        <v>28</v>
      </c>
      <c r="G208" t="s">
        <v>16</v>
      </c>
      <c r="H208" t="s">
        <v>34</v>
      </c>
      <c r="I208" t="s">
        <v>51</v>
      </c>
      <c r="J208" t="s">
        <v>59</v>
      </c>
      <c r="K208" t="s">
        <v>46</v>
      </c>
      <c r="L208">
        <v>9</v>
      </c>
      <c r="M208">
        <v>2677.09</v>
      </c>
      <c r="N208">
        <v>10</v>
      </c>
      <c r="U208" s="21"/>
      <c r="V208" s="21"/>
    </row>
    <row r="209" spans="1:22">
      <c r="A209">
        <v>10277</v>
      </c>
      <c r="B209">
        <v>1386</v>
      </c>
      <c r="C209" s="21">
        <v>44995</v>
      </c>
      <c r="D209" s="21">
        <v>45001</v>
      </c>
      <c r="E209" t="s">
        <v>39</v>
      </c>
      <c r="F209" t="s">
        <v>40</v>
      </c>
      <c r="G209" t="s">
        <v>29</v>
      </c>
      <c r="H209" t="s">
        <v>17</v>
      </c>
      <c r="I209" t="s">
        <v>25</v>
      </c>
      <c r="J209" t="s">
        <v>67</v>
      </c>
      <c r="K209" t="s">
        <v>44</v>
      </c>
      <c r="L209">
        <v>9</v>
      </c>
      <c r="M209">
        <v>670.06</v>
      </c>
      <c r="N209">
        <v>20</v>
      </c>
      <c r="U209" s="21"/>
      <c r="V209" s="21"/>
    </row>
    <row r="210" spans="1:22">
      <c r="A210">
        <v>10423</v>
      </c>
      <c r="B210">
        <v>1503</v>
      </c>
      <c r="C210" s="21">
        <v>45153</v>
      </c>
      <c r="D210" s="21">
        <v>45155</v>
      </c>
      <c r="E210" t="s">
        <v>39</v>
      </c>
      <c r="F210" t="s">
        <v>15</v>
      </c>
      <c r="G210" t="s">
        <v>23</v>
      </c>
      <c r="H210" t="s">
        <v>43</v>
      </c>
      <c r="I210" t="s">
        <v>51</v>
      </c>
      <c r="J210" t="s">
        <v>59</v>
      </c>
      <c r="K210" t="s">
        <v>46</v>
      </c>
      <c r="L210">
        <v>9</v>
      </c>
      <c r="M210">
        <v>3740.3</v>
      </c>
      <c r="N210">
        <v>10</v>
      </c>
      <c r="U210" s="21"/>
      <c r="V210" s="21"/>
    </row>
    <row r="211" spans="1:22">
      <c r="A211">
        <v>10427</v>
      </c>
      <c r="B211">
        <v>1194</v>
      </c>
      <c r="C211" s="21">
        <v>45137</v>
      </c>
      <c r="D211" s="21">
        <v>45140</v>
      </c>
      <c r="E211" t="s">
        <v>39</v>
      </c>
      <c r="F211" t="s">
        <v>22</v>
      </c>
      <c r="G211" t="s">
        <v>23</v>
      </c>
      <c r="H211" t="s">
        <v>24</v>
      </c>
      <c r="I211" t="s">
        <v>18</v>
      </c>
      <c r="J211" t="s">
        <v>54</v>
      </c>
      <c r="K211" t="s">
        <v>27</v>
      </c>
      <c r="L211">
        <v>9</v>
      </c>
      <c r="M211">
        <v>2454.59</v>
      </c>
      <c r="N211">
        <v>5</v>
      </c>
      <c r="U211" s="21"/>
      <c r="V211" s="21"/>
    </row>
    <row r="212" spans="1:22">
      <c r="A212">
        <v>10152</v>
      </c>
      <c r="B212">
        <v>1230</v>
      </c>
      <c r="C212" s="21">
        <v>45043</v>
      </c>
      <c r="D212" s="21">
        <v>45050</v>
      </c>
      <c r="E212" t="s">
        <v>36</v>
      </c>
      <c r="F212" t="s">
        <v>15</v>
      </c>
      <c r="G212" t="s">
        <v>23</v>
      </c>
      <c r="H212" t="s">
        <v>43</v>
      </c>
      <c r="I212" t="s">
        <v>51</v>
      </c>
      <c r="J212" t="s">
        <v>55</v>
      </c>
      <c r="K212" t="s">
        <v>46</v>
      </c>
      <c r="L212">
        <v>1</v>
      </c>
      <c r="M212">
        <v>3249.11</v>
      </c>
      <c r="N212">
        <v>10</v>
      </c>
      <c r="U212" s="21"/>
      <c r="V212" s="21"/>
    </row>
    <row r="213" spans="1:22">
      <c r="A213">
        <v>10186</v>
      </c>
      <c r="B213">
        <v>1794</v>
      </c>
      <c r="C213" s="21">
        <v>45251</v>
      </c>
      <c r="D213" s="21">
        <v>45254</v>
      </c>
      <c r="E213" t="s">
        <v>36</v>
      </c>
      <c r="F213" t="s">
        <v>40</v>
      </c>
      <c r="G213" t="s">
        <v>29</v>
      </c>
      <c r="H213" t="s">
        <v>24</v>
      </c>
      <c r="I213" t="s">
        <v>51</v>
      </c>
      <c r="J213" t="s">
        <v>55</v>
      </c>
      <c r="K213" t="s">
        <v>46</v>
      </c>
      <c r="L213">
        <v>1</v>
      </c>
      <c r="M213">
        <v>508.81</v>
      </c>
      <c r="N213">
        <v>0</v>
      </c>
      <c r="U213" s="21"/>
      <c r="V213" s="21"/>
    </row>
    <row r="214" spans="1:22">
      <c r="A214">
        <v>10268</v>
      </c>
      <c r="B214">
        <v>1112</v>
      </c>
      <c r="C214" s="21">
        <v>45069</v>
      </c>
      <c r="D214" s="21">
        <v>45072</v>
      </c>
      <c r="E214" t="s">
        <v>36</v>
      </c>
      <c r="F214" t="s">
        <v>15</v>
      </c>
      <c r="G214" t="s">
        <v>29</v>
      </c>
      <c r="H214" t="s">
        <v>41</v>
      </c>
      <c r="I214" t="s">
        <v>30</v>
      </c>
      <c r="J214" t="s">
        <v>38</v>
      </c>
      <c r="K214" t="s">
        <v>27</v>
      </c>
      <c r="L214">
        <v>1</v>
      </c>
      <c r="M214">
        <v>2660.56</v>
      </c>
      <c r="N214">
        <v>10</v>
      </c>
      <c r="U214" s="21"/>
      <c r="V214" s="21"/>
    </row>
    <row r="215" spans="1:22">
      <c r="A215">
        <v>10314</v>
      </c>
      <c r="B215">
        <v>1883</v>
      </c>
      <c r="C215" s="21">
        <v>45256</v>
      </c>
      <c r="D215" s="21">
        <v>45264</v>
      </c>
      <c r="E215" t="s">
        <v>36</v>
      </c>
      <c r="F215" t="s">
        <v>15</v>
      </c>
      <c r="G215" t="s">
        <v>23</v>
      </c>
      <c r="H215" t="s">
        <v>24</v>
      </c>
      <c r="I215" t="s">
        <v>25</v>
      </c>
      <c r="J215" t="s">
        <v>67</v>
      </c>
      <c r="K215" t="s">
        <v>27</v>
      </c>
      <c r="L215">
        <v>1</v>
      </c>
      <c r="M215">
        <v>1681.85</v>
      </c>
      <c r="N215">
        <v>5</v>
      </c>
      <c r="U215" s="21"/>
      <c r="V215" s="21"/>
    </row>
    <row r="216" spans="1:22">
      <c r="A216">
        <v>10383</v>
      </c>
      <c r="B216">
        <v>1403</v>
      </c>
      <c r="C216" s="21">
        <v>45040</v>
      </c>
      <c r="D216" s="21">
        <v>45042</v>
      </c>
      <c r="E216" t="s">
        <v>36</v>
      </c>
      <c r="F216" t="s">
        <v>22</v>
      </c>
      <c r="G216" t="s">
        <v>23</v>
      </c>
      <c r="H216" t="s">
        <v>41</v>
      </c>
      <c r="I216" t="s">
        <v>30</v>
      </c>
      <c r="J216" t="s">
        <v>47</v>
      </c>
      <c r="K216" t="s">
        <v>32</v>
      </c>
      <c r="L216">
        <v>1</v>
      </c>
      <c r="M216">
        <v>3581.58</v>
      </c>
      <c r="N216">
        <v>15</v>
      </c>
      <c r="U216" s="21"/>
      <c r="V216" s="21"/>
    </row>
    <row r="217" spans="1:22">
      <c r="A217">
        <v>10440</v>
      </c>
      <c r="B217">
        <v>1037</v>
      </c>
      <c r="C217" s="21">
        <v>45144</v>
      </c>
      <c r="D217" s="21">
        <v>45149</v>
      </c>
      <c r="E217" t="s">
        <v>36</v>
      </c>
      <c r="F217" t="s">
        <v>53</v>
      </c>
      <c r="G217" t="s">
        <v>16</v>
      </c>
      <c r="H217" t="s">
        <v>41</v>
      </c>
      <c r="I217" t="s">
        <v>48</v>
      </c>
      <c r="J217" t="s">
        <v>49</v>
      </c>
      <c r="K217" t="s">
        <v>32</v>
      </c>
      <c r="L217">
        <v>1</v>
      </c>
      <c r="M217">
        <v>3775.07</v>
      </c>
      <c r="N217">
        <v>10</v>
      </c>
      <c r="U217" s="21"/>
      <c r="V217" s="21"/>
    </row>
    <row r="218" spans="1:22">
      <c r="A218">
        <v>10055</v>
      </c>
      <c r="B218">
        <v>1243</v>
      </c>
      <c r="C218" s="21">
        <v>45110</v>
      </c>
      <c r="D218" s="21">
        <v>45115</v>
      </c>
      <c r="E218" t="s">
        <v>36</v>
      </c>
      <c r="F218" t="s">
        <v>15</v>
      </c>
      <c r="G218" t="s">
        <v>23</v>
      </c>
      <c r="H218" t="s">
        <v>17</v>
      </c>
      <c r="I218" t="s">
        <v>51</v>
      </c>
      <c r="J218" t="s">
        <v>63</v>
      </c>
      <c r="K218" t="s">
        <v>44</v>
      </c>
      <c r="L218">
        <v>2</v>
      </c>
      <c r="M218">
        <v>3723.19</v>
      </c>
      <c r="N218">
        <v>5</v>
      </c>
      <c r="U218" s="21"/>
      <c r="V218" s="21"/>
    </row>
    <row r="219" spans="1:22">
      <c r="A219">
        <v>10102</v>
      </c>
      <c r="B219">
        <v>1161</v>
      </c>
      <c r="C219" s="21">
        <v>44996</v>
      </c>
      <c r="D219" s="21">
        <v>45002</v>
      </c>
      <c r="E219" t="s">
        <v>36</v>
      </c>
      <c r="F219" t="s">
        <v>53</v>
      </c>
      <c r="G219" t="s">
        <v>29</v>
      </c>
      <c r="H219" t="s">
        <v>24</v>
      </c>
      <c r="I219" t="s">
        <v>30</v>
      </c>
      <c r="J219" t="s">
        <v>38</v>
      </c>
      <c r="K219" t="s">
        <v>20</v>
      </c>
      <c r="L219">
        <v>2</v>
      </c>
      <c r="M219">
        <v>1859.03</v>
      </c>
      <c r="N219">
        <v>20</v>
      </c>
      <c r="U219" s="21"/>
      <c r="V219" s="21"/>
    </row>
    <row r="220" spans="1:22">
      <c r="A220">
        <v>10141</v>
      </c>
      <c r="B220">
        <v>1062</v>
      </c>
      <c r="C220" s="21">
        <v>45085</v>
      </c>
      <c r="D220" s="21">
        <v>45092</v>
      </c>
      <c r="E220" t="s">
        <v>36</v>
      </c>
      <c r="F220" t="s">
        <v>28</v>
      </c>
      <c r="G220" t="s">
        <v>16</v>
      </c>
      <c r="H220" t="s">
        <v>24</v>
      </c>
      <c r="I220" t="s">
        <v>30</v>
      </c>
      <c r="J220" t="s">
        <v>38</v>
      </c>
      <c r="K220" t="s">
        <v>27</v>
      </c>
      <c r="L220">
        <v>2</v>
      </c>
      <c r="M220">
        <v>1766.42</v>
      </c>
      <c r="N220">
        <v>10</v>
      </c>
      <c r="U220" s="21"/>
      <c r="V220" s="21"/>
    </row>
    <row r="221" spans="1:22">
      <c r="A221">
        <v>10218</v>
      </c>
      <c r="B221">
        <v>1577</v>
      </c>
      <c r="C221" s="21">
        <v>45206</v>
      </c>
      <c r="D221" s="21">
        <v>45209</v>
      </c>
      <c r="E221" t="s">
        <v>36</v>
      </c>
      <c r="F221" t="s">
        <v>28</v>
      </c>
      <c r="G221" t="s">
        <v>16</v>
      </c>
      <c r="H221" t="s">
        <v>43</v>
      </c>
      <c r="I221" t="s">
        <v>25</v>
      </c>
      <c r="J221" t="s">
        <v>67</v>
      </c>
      <c r="K221" t="s">
        <v>44</v>
      </c>
      <c r="L221">
        <v>2</v>
      </c>
      <c r="M221">
        <v>2401.63</v>
      </c>
      <c r="N221">
        <v>0</v>
      </c>
      <c r="U221" s="21"/>
      <c r="V221" s="21"/>
    </row>
    <row r="222" spans="1:22">
      <c r="A222">
        <v>10243</v>
      </c>
      <c r="B222">
        <v>1632</v>
      </c>
      <c r="C222" s="21">
        <v>45108</v>
      </c>
      <c r="D222" s="21">
        <v>45109</v>
      </c>
      <c r="E222" t="s">
        <v>36</v>
      </c>
      <c r="F222" t="s">
        <v>22</v>
      </c>
      <c r="G222" t="s">
        <v>29</v>
      </c>
      <c r="H222" t="s">
        <v>17</v>
      </c>
      <c r="I222" t="s">
        <v>56</v>
      </c>
      <c r="J222" t="s">
        <v>58</v>
      </c>
      <c r="K222" t="s">
        <v>27</v>
      </c>
      <c r="L222">
        <v>2</v>
      </c>
      <c r="M222">
        <v>601.53</v>
      </c>
      <c r="N222">
        <v>20</v>
      </c>
      <c r="U222" s="21"/>
      <c r="V222" s="21"/>
    </row>
    <row r="223" spans="1:22">
      <c r="A223">
        <v>10326</v>
      </c>
      <c r="B223">
        <v>1325</v>
      </c>
      <c r="C223" s="21">
        <v>45118</v>
      </c>
      <c r="D223" s="21">
        <v>45124</v>
      </c>
      <c r="E223" t="s">
        <v>36</v>
      </c>
      <c r="F223" t="s">
        <v>15</v>
      </c>
      <c r="G223" t="s">
        <v>23</v>
      </c>
      <c r="H223" t="s">
        <v>43</v>
      </c>
      <c r="I223" t="s">
        <v>51</v>
      </c>
      <c r="J223" t="s">
        <v>59</v>
      </c>
      <c r="K223" t="s">
        <v>32</v>
      </c>
      <c r="L223">
        <v>2</v>
      </c>
      <c r="M223">
        <v>3428.64</v>
      </c>
      <c r="N223">
        <v>10</v>
      </c>
      <c r="U223" s="21"/>
      <c r="V223" s="21"/>
    </row>
    <row r="224" spans="1:22">
      <c r="A224">
        <v>10027</v>
      </c>
      <c r="B224">
        <v>1805</v>
      </c>
      <c r="C224" s="21">
        <v>45286</v>
      </c>
      <c r="D224" s="21">
        <v>45290</v>
      </c>
      <c r="E224" t="s">
        <v>36</v>
      </c>
      <c r="F224" t="s">
        <v>40</v>
      </c>
      <c r="G224" t="s">
        <v>23</v>
      </c>
      <c r="H224" t="s">
        <v>34</v>
      </c>
      <c r="I224" t="s">
        <v>56</v>
      </c>
      <c r="J224" t="s">
        <v>57</v>
      </c>
      <c r="K224" t="s">
        <v>20</v>
      </c>
      <c r="L224">
        <v>3</v>
      </c>
      <c r="M224">
        <v>3599.15</v>
      </c>
      <c r="N224">
        <v>5</v>
      </c>
      <c r="U224" s="21"/>
      <c r="V224" s="21"/>
    </row>
    <row r="225" spans="1:22">
      <c r="A225">
        <v>10037</v>
      </c>
      <c r="B225">
        <v>1747</v>
      </c>
      <c r="C225" s="21">
        <v>45161</v>
      </c>
      <c r="D225" s="21">
        <v>45165</v>
      </c>
      <c r="E225" t="s">
        <v>36</v>
      </c>
      <c r="F225" t="s">
        <v>15</v>
      </c>
      <c r="G225" t="s">
        <v>23</v>
      </c>
      <c r="H225" t="s">
        <v>17</v>
      </c>
      <c r="I225" t="s">
        <v>18</v>
      </c>
      <c r="J225" t="s">
        <v>54</v>
      </c>
      <c r="K225" t="s">
        <v>20</v>
      </c>
      <c r="L225">
        <v>4</v>
      </c>
      <c r="M225">
        <v>853.29</v>
      </c>
      <c r="N225">
        <v>5</v>
      </c>
      <c r="U225" s="21"/>
      <c r="V225" s="21"/>
    </row>
    <row r="226" spans="1:22">
      <c r="A226">
        <v>10098</v>
      </c>
      <c r="B226">
        <v>1702</v>
      </c>
      <c r="C226" s="21">
        <v>44946</v>
      </c>
      <c r="D226" s="21">
        <v>44947</v>
      </c>
      <c r="E226" t="s">
        <v>36</v>
      </c>
      <c r="F226" t="s">
        <v>53</v>
      </c>
      <c r="G226" t="s">
        <v>23</v>
      </c>
      <c r="H226" t="s">
        <v>41</v>
      </c>
      <c r="I226" t="s">
        <v>25</v>
      </c>
      <c r="J226" t="s">
        <v>35</v>
      </c>
      <c r="K226" t="s">
        <v>44</v>
      </c>
      <c r="L226">
        <v>4</v>
      </c>
      <c r="M226">
        <v>1362.08</v>
      </c>
      <c r="N226">
        <v>15</v>
      </c>
      <c r="U226" s="21"/>
      <c r="V226" s="21"/>
    </row>
    <row r="227" spans="1:22">
      <c r="A227">
        <v>10112</v>
      </c>
      <c r="B227">
        <v>1726</v>
      </c>
      <c r="C227" s="21">
        <v>45153</v>
      </c>
      <c r="D227" s="21">
        <v>45154</v>
      </c>
      <c r="E227" t="s">
        <v>36</v>
      </c>
      <c r="F227" t="s">
        <v>40</v>
      </c>
      <c r="G227" t="s">
        <v>29</v>
      </c>
      <c r="H227" t="s">
        <v>17</v>
      </c>
      <c r="I227" t="s">
        <v>25</v>
      </c>
      <c r="J227" t="s">
        <v>35</v>
      </c>
      <c r="K227" t="s">
        <v>20</v>
      </c>
      <c r="L227">
        <v>4</v>
      </c>
      <c r="M227">
        <v>1110.5899999999999</v>
      </c>
      <c r="N227">
        <v>20</v>
      </c>
      <c r="U227" s="21"/>
      <c r="V227" s="21"/>
    </row>
    <row r="228" spans="1:22">
      <c r="A228">
        <v>10214</v>
      </c>
      <c r="B228">
        <v>1698</v>
      </c>
      <c r="C228" s="21">
        <v>45052</v>
      </c>
      <c r="D228" s="21">
        <v>45061</v>
      </c>
      <c r="E228" t="s">
        <v>36</v>
      </c>
      <c r="F228" t="s">
        <v>28</v>
      </c>
      <c r="G228" t="s">
        <v>23</v>
      </c>
      <c r="H228" t="s">
        <v>43</v>
      </c>
      <c r="I228" t="s">
        <v>48</v>
      </c>
      <c r="J228" t="s">
        <v>62</v>
      </c>
      <c r="K228" t="s">
        <v>46</v>
      </c>
      <c r="L228">
        <v>4</v>
      </c>
      <c r="M228">
        <v>1719.71</v>
      </c>
      <c r="N228">
        <v>15</v>
      </c>
      <c r="U228" s="21"/>
      <c r="V228" s="21"/>
    </row>
    <row r="229" spans="1:22">
      <c r="A229">
        <v>10217</v>
      </c>
      <c r="B229">
        <v>1795</v>
      </c>
      <c r="C229" s="21">
        <v>45055</v>
      </c>
      <c r="D229" s="21">
        <v>45057</v>
      </c>
      <c r="E229" t="s">
        <v>36</v>
      </c>
      <c r="F229" t="s">
        <v>40</v>
      </c>
      <c r="G229" t="s">
        <v>23</v>
      </c>
      <c r="H229" t="s">
        <v>41</v>
      </c>
      <c r="I229" t="s">
        <v>48</v>
      </c>
      <c r="J229" t="s">
        <v>49</v>
      </c>
      <c r="K229" t="s">
        <v>27</v>
      </c>
      <c r="L229">
        <v>4</v>
      </c>
      <c r="M229">
        <v>3335.32</v>
      </c>
      <c r="N229">
        <v>20</v>
      </c>
      <c r="U229" s="21"/>
      <c r="V229" s="21"/>
    </row>
    <row r="230" spans="1:22">
      <c r="A230">
        <v>10252</v>
      </c>
      <c r="B230">
        <v>1648</v>
      </c>
      <c r="C230" s="21">
        <v>45110</v>
      </c>
      <c r="D230" s="21">
        <v>45114</v>
      </c>
      <c r="E230" t="s">
        <v>36</v>
      </c>
      <c r="F230" t="s">
        <v>37</v>
      </c>
      <c r="G230" t="s">
        <v>23</v>
      </c>
      <c r="H230" t="s">
        <v>41</v>
      </c>
      <c r="I230" t="s">
        <v>51</v>
      </c>
      <c r="J230" t="s">
        <v>59</v>
      </c>
      <c r="K230" t="s">
        <v>32</v>
      </c>
      <c r="L230">
        <v>4</v>
      </c>
      <c r="M230">
        <v>1868.8</v>
      </c>
      <c r="N230">
        <v>20</v>
      </c>
      <c r="U230" s="21"/>
      <c r="V230" s="21"/>
    </row>
    <row r="231" spans="1:22">
      <c r="A231">
        <v>10274</v>
      </c>
      <c r="B231">
        <v>1509</v>
      </c>
      <c r="C231" s="21">
        <v>45240</v>
      </c>
      <c r="D231" s="21">
        <v>45241</v>
      </c>
      <c r="E231" t="s">
        <v>36</v>
      </c>
      <c r="F231" t="s">
        <v>15</v>
      </c>
      <c r="G231" t="s">
        <v>23</v>
      </c>
      <c r="H231" t="s">
        <v>43</v>
      </c>
      <c r="I231" t="s">
        <v>51</v>
      </c>
      <c r="J231" t="s">
        <v>59</v>
      </c>
      <c r="K231" t="s">
        <v>32</v>
      </c>
      <c r="L231">
        <v>4</v>
      </c>
      <c r="M231">
        <v>1258.1500000000001</v>
      </c>
      <c r="N231">
        <v>0</v>
      </c>
      <c r="U231" s="21"/>
      <c r="V231" s="21"/>
    </row>
    <row r="232" spans="1:22">
      <c r="A232">
        <v>10308</v>
      </c>
      <c r="B232">
        <v>1122</v>
      </c>
      <c r="C232" s="21">
        <v>44931</v>
      </c>
      <c r="D232" s="21">
        <v>44940</v>
      </c>
      <c r="E232" t="s">
        <v>36</v>
      </c>
      <c r="F232" t="s">
        <v>22</v>
      </c>
      <c r="G232" t="s">
        <v>29</v>
      </c>
      <c r="H232" t="s">
        <v>24</v>
      </c>
      <c r="I232" t="s">
        <v>51</v>
      </c>
      <c r="J232" t="s">
        <v>52</v>
      </c>
      <c r="K232" t="s">
        <v>44</v>
      </c>
      <c r="L232">
        <v>4</v>
      </c>
      <c r="M232">
        <v>3143.2</v>
      </c>
      <c r="N232">
        <v>0</v>
      </c>
      <c r="U232" s="21"/>
      <c r="V232" s="21"/>
    </row>
    <row r="233" spans="1:22">
      <c r="A233">
        <v>10465</v>
      </c>
      <c r="B233">
        <v>1016</v>
      </c>
      <c r="C233" s="21">
        <v>45082</v>
      </c>
      <c r="D233" s="21">
        <v>45089</v>
      </c>
      <c r="E233" t="s">
        <v>36</v>
      </c>
      <c r="F233" t="s">
        <v>22</v>
      </c>
      <c r="G233" t="s">
        <v>29</v>
      </c>
      <c r="H233" t="s">
        <v>43</v>
      </c>
      <c r="I233" t="s">
        <v>18</v>
      </c>
      <c r="J233" t="s">
        <v>42</v>
      </c>
      <c r="K233" t="s">
        <v>32</v>
      </c>
      <c r="L233">
        <v>4</v>
      </c>
      <c r="M233">
        <v>589.44000000000005</v>
      </c>
      <c r="N233">
        <v>20</v>
      </c>
      <c r="U233" s="21"/>
      <c r="V233" s="21"/>
    </row>
    <row r="234" spans="1:22">
      <c r="A234">
        <v>10043</v>
      </c>
      <c r="B234">
        <v>1681</v>
      </c>
      <c r="C234" s="21">
        <v>45184</v>
      </c>
      <c r="D234" s="21">
        <v>45188</v>
      </c>
      <c r="E234" t="s">
        <v>36</v>
      </c>
      <c r="F234" t="s">
        <v>22</v>
      </c>
      <c r="G234" t="s">
        <v>23</v>
      </c>
      <c r="H234" t="s">
        <v>34</v>
      </c>
      <c r="I234" t="s">
        <v>30</v>
      </c>
      <c r="J234" t="s">
        <v>47</v>
      </c>
      <c r="K234" t="s">
        <v>44</v>
      </c>
      <c r="L234">
        <v>5</v>
      </c>
      <c r="M234">
        <v>936.35</v>
      </c>
      <c r="N234">
        <v>15</v>
      </c>
      <c r="U234" s="21"/>
      <c r="V234" s="21"/>
    </row>
    <row r="235" spans="1:22">
      <c r="A235">
        <v>10091</v>
      </c>
      <c r="B235">
        <v>1001</v>
      </c>
      <c r="C235" s="21">
        <v>45016</v>
      </c>
      <c r="D235" s="21">
        <v>45019</v>
      </c>
      <c r="E235" t="s">
        <v>36</v>
      </c>
      <c r="F235" t="s">
        <v>15</v>
      </c>
      <c r="G235" t="s">
        <v>16</v>
      </c>
      <c r="H235" t="s">
        <v>43</v>
      </c>
      <c r="I235" t="s">
        <v>25</v>
      </c>
      <c r="J235" t="s">
        <v>26</v>
      </c>
      <c r="K235" t="s">
        <v>27</v>
      </c>
      <c r="L235">
        <v>5</v>
      </c>
      <c r="M235">
        <v>3370.52</v>
      </c>
      <c r="N235">
        <v>10</v>
      </c>
      <c r="U235" s="21"/>
      <c r="V235" s="21"/>
    </row>
    <row r="236" spans="1:22">
      <c r="A236">
        <v>10226</v>
      </c>
      <c r="B236">
        <v>1619</v>
      </c>
      <c r="C236" s="21">
        <v>45290</v>
      </c>
      <c r="D236" s="21">
        <v>45291</v>
      </c>
      <c r="E236" t="s">
        <v>36</v>
      </c>
      <c r="F236" t="s">
        <v>37</v>
      </c>
      <c r="G236" t="s">
        <v>16</v>
      </c>
      <c r="H236" t="s">
        <v>41</v>
      </c>
      <c r="I236" t="s">
        <v>48</v>
      </c>
      <c r="J236" t="s">
        <v>62</v>
      </c>
      <c r="K236" t="s">
        <v>44</v>
      </c>
      <c r="L236">
        <v>5</v>
      </c>
      <c r="M236">
        <v>620.13</v>
      </c>
      <c r="N236">
        <v>5</v>
      </c>
      <c r="U236" s="21"/>
      <c r="V236" s="21"/>
    </row>
    <row r="237" spans="1:22">
      <c r="A237">
        <v>10374</v>
      </c>
      <c r="B237">
        <v>1036</v>
      </c>
      <c r="C237" s="21">
        <v>45136</v>
      </c>
      <c r="D237" s="21">
        <v>45141</v>
      </c>
      <c r="E237" t="s">
        <v>36</v>
      </c>
      <c r="F237" t="s">
        <v>15</v>
      </c>
      <c r="G237" t="s">
        <v>16</v>
      </c>
      <c r="H237" t="s">
        <v>41</v>
      </c>
      <c r="I237" t="s">
        <v>56</v>
      </c>
      <c r="J237" t="s">
        <v>57</v>
      </c>
      <c r="K237" t="s">
        <v>32</v>
      </c>
      <c r="L237">
        <v>5</v>
      </c>
      <c r="M237">
        <v>1651.11</v>
      </c>
      <c r="N237">
        <v>20</v>
      </c>
      <c r="U237" s="21"/>
      <c r="V237" s="21"/>
    </row>
    <row r="238" spans="1:22">
      <c r="A238">
        <v>10494</v>
      </c>
      <c r="B238">
        <v>1322</v>
      </c>
      <c r="C238" s="21">
        <v>45151</v>
      </c>
      <c r="D238" s="21">
        <v>45154</v>
      </c>
      <c r="E238" t="s">
        <v>36</v>
      </c>
      <c r="F238" t="s">
        <v>40</v>
      </c>
      <c r="G238" t="s">
        <v>16</v>
      </c>
      <c r="H238" t="s">
        <v>43</v>
      </c>
      <c r="I238" t="s">
        <v>56</v>
      </c>
      <c r="J238" t="s">
        <v>65</v>
      </c>
      <c r="K238" t="s">
        <v>44</v>
      </c>
      <c r="L238">
        <v>5</v>
      </c>
      <c r="M238">
        <v>529.59</v>
      </c>
      <c r="N238">
        <v>5</v>
      </c>
      <c r="U238" s="21"/>
      <c r="V238" s="21"/>
    </row>
    <row r="239" spans="1:22">
      <c r="A239">
        <v>10025</v>
      </c>
      <c r="B239">
        <v>1491</v>
      </c>
      <c r="C239" s="21">
        <v>45052</v>
      </c>
      <c r="D239" s="21">
        <v>45061</v>
      </c>
      <c r="E239" t="s">
        <v>36</v>
      </c>
      <c r="F239" t="s">
        <v>37</v>
      </c>
      <c r="G239" t="s">
        <v>29</v>
      </c>
      <c r="H239" t="s">
        <v>43</v>
      </c>
      <c r="I239" t="s">
        <v>56</v>
      </c>
      <c r="J239" t="s">
        <v>58</v>
      </c>
      <c r="K239" t="s">
        <v>44</v>
      </c>
      <c r="L239">
        <v>6</v>
      </c>
      <c r="M239">
        <v>3018.94</v>
      </c>
      <c r="N239">
        <v>5</v>
      </c>
      <c r="U239" s="21"/>
      <c r="V239" s="21"/>
    </row>
    <row r="240" spans="1:22">
      <c r="A240">
        <v>10056</v>
      </c>
      <c r="B240">
        <v>1831</v>
      </c>
      <c r="C240" s="21">
        <v>44929</v>
      </c>
      <c r="D240" s="21">
        <v>44934</v>
      </c>
      <c r="E240" t="s">
        <v>36</v>
      </c>
      <c r="F240" t="s">
        <v>28</v>
      </c>
      <c r="G240" t="s">
        <v>16</v>
      </c>
      <c r="H240" t="s">
        <v>41</v>
      </c>
      <c r="I240" t="s">
        <v>56</v>
      </c>
      <c r="J240" t="s">
        <v>61</v>
      </c>
      <c r="K240" t="s">
        <v>44</v>
      </c>
      <c r="L240">
        <v>6</v>
      </c>
      <c r="M240">
        <v>3402.72</v>
      </c>
      <c r="N240">
        <v>15</v>
      </c>
      <c r="U240" s="21"/>
      <c r="V240" s="21"/>
    </row>
    <row r="241" spans="1:22">
      <c r="A241">
        <v>10127</v>
      </c>
      <c r="B241">
        <v>1379</v>
      </c>
      <c r="C241" s="21">
        <v>44930</v>
      </c>
      <c r="D241" s="21">
        <v>44935</v>
      </c>
      <c r="E241" t="s">
        <v>36</v>
      </c>
      <c r="F241" t="s">
        <v>53</v>
      </c>
      <c r="G241" t="s">
        <v>23</v>
      </c>
      <c r="H241" t="s">
        <v>17</v>
      </c>
      <c r="I241" t="s">
        <v>30</v>
      </c>
      <c r="J241" t="s">
        <v>38</v>
      </c>
      <c r="K241" t="s">
        <v>20</v>
      </c>
      <c r="L241">
        <v>6</v>
      </c>
      <c r="M241">
        <v>1846.21</v>
      </c>
      <c r="N241">
        <v>10</v>
      </c>
      <c r="U241" s="21"/>
      <c r="V241" s="21"/>
    </row>
    <row r="242" spans="1:22">
      <c r="A242">
        <v>10145</v>
      </c>
      <c r="B242">
        <v>1391</v>
      </c>
      <c r="C242" s="21">
        <v>45245</v>
      </c>
      <c r="D242" s="21">
        <v>45246</v>
      </c>
      <c r="E242" t="s">
        <v>36</v>
      </c>
      <c r="F242" t="s">
        <v>37</v>
      </c>
      <c r="G242" t="s">
        <v>23</v>
      </c>
      <c r="H242" t="s">
        <v>34</v>
      </c>
      <c r="I242" t="s">
        <v>56</v>
      </c>
      <c r="J242" t="s">
        <v>58</v>
      </c>
      <c r="K242" t="s">
        <v>46</v>
      </c>
      <c r="L242">
        <v>6</v>
      </c>
      <c r="M242">
        <v>652.42999999999995</v>
      </c>
      <c r="N242">
        <v>10</v>
      </c>
      <c r="U242" s="21"/>
      <c r="V242" s="21"/>
    </row>
    <row r="243" spans="1:22">
      <c r="A243">
        <v>10216</v>
      </c>
      <c r="B243">
        <v>1085</v>
      </c>
      <c r="C243" s="21">
        <v>45221</v>
      </c>
      <c r="D243" s="21">
        <v>45227</v>
      </c>
      <c r="E243" t="s">
        <v>36</v>
      </c>
      <c r="F243" t="s">
        <v>22</v>
      </c>
      <c r="G243" t="s">
        <v>23</v>
      </c>
      <c r="H243" t="s">
        <v>17</v>
      </c>
      <c r="I243" t="s">
        <v>56</v>
      </c>
      <c r="J243" t="s">
        <v>65</v>
      </c>
      <c r="K243" t="s">
        <v>20</v>
      </c>
      <c r="L243">
        <v>6</v>
      </c>
      <c r="M243">
        <v>809.49</v>
      </c>
      <c r="N243">
        <v>5</v>
      </c>
      <c r="U243" s="21"/>
      <c r="V243" s="21"/>
    </row>
    <row r="244" spans="1:22">
      <c r="A244">
        <v>10303</v>
      </c>
      <c r="B244">
        <v>1246</v>
      </c>
      <c r="C244" s="21">
        <v>45124</v>
      </c>
      <c r="D244" s="21">
        <v>45125</v>
      </c>
      <c r="E244" t="s">
        <v>36</v>
      </c>
      <c r="F244" t="s">
        <v>28</v>
      </c>
      <c r="G244" t="s">
        <v>16</v>
      </c>
      <c r="H244" t="s">
        <v>24</v>
      </c>
      <c r="I244" t="s">
        <v>56</v>
      </c>
      <c r="J244" t="s">
        <v>65</v>
      </c>
      <c r="K244" t="s">
        <v>20</v>
      </c>
      <c r="L244">
        <v>6</v>
      </c>
      <c r="M244">
        <v>257.2</v>
      </c>
      <c r="N244">
        <v>0</v>
      </c>
      <c r="U244" s="21"/>
      <c r="V244" s="21"/>
    </row>
    <row r="245" spans="1:22">
      <c r="A245">
        <v>10376</v>
      </c>
      <c r="B245">
        <v>1008</v>
      </c>
      <c r="C245" s="21">
        <v>45242</v>
      </c>
      <c r="D245" s="21">
        <v>45251</v>
      </c>
      <c r="E245" t="s">
        <v>36</v>
      </c>
      <c r="F245" t="s">
        <v>53</v>
      </c>
      <c r="G245" t="s">
        <v>29</v>
      </c>
      <c r="H245" t="s">
        <v>17</v>
      </c>
      <c r="I245" t="s">
        <v>56</v>
      </c>
      <c r="J245" t="s">
        <v>58</v>
      </c>
      <c r="K245" t="s">
        <v>44</v>
      </c>
      <c r="L245">
        <v>6</v>
      </c>
      <c r="M245">
        <v>681.36</v>
      </c>
      <c r="N245">
        <v>15</v>
      </c>
      <c r="U245" s="21"/>
      <c r="V245" s="21"/>
    </row>
    <row r="246" spans="1:22">
      <c r="A246">
        <v>10005</v>
      </c>
      <c r="B246">
        <v>1106</v>
      </c>
      <c r="C246" s="21">
        <v>45241</v>
      </c>
      <c r="D246" s="21">
        <v>45244</v>
      </c>
      <c r="E246" t="s">
        <v>36</v>
      </c>
      <c r="F246" t="s">
        <v>37</v>
      </c>
      <c r="G246" t="s">
        <v>29</v>
      </c>
      <c r="H246" t="s">
        <v>17</v>
      </c>
      <c r="I246" t="s">
        <v>30</v>
      </c>
      <c r="J246" t="s">
        <v>38</v>
      </c>
      <c r="K246" t="s">
        <v>20</v>
      </c>
      <c r="L246">
        <v>7</v>
      </c>
      <c r="M246">
        <v>3511.47</v>
      </c>
      <c r="N246">
        <v>20</v>
      </c>
      <c r="U246" s="21"/>
      <c r="V246" s="21"/>
    </row>
    <row r="247" spans="1:22">
      <c r="A247">
        <v>10022</v>
      </c>
      <c r="B247">
        <v>1308</v>
      </c>
      <c r="C247" s="21">
        <v>44944</v>
      </c>
      <c r="D247" s="21">
        <v>44951</v>
      </c>
      <c r="E247" t="s">
        <v>36</v>
      </c>
      <c r="F247" t="s">
        <v>22</v>
      </c>
      <c r="G247" t="s">
        <v>29</v>
      </c>
      <c r="H247" t="s">
        <v>34</v>
      </c>
      <c r="I247" t="s">
        <v>56</v>
      </c>
      <c r="J247" t="s">
        <v>57</v>
      </c>
      <c r="K247" t="s">
        <v>32</v>
      </c>
      <c r="L247">
        <v>7</v>
      </c>
      <c r="M247">
        <v>680.86</v>
      </c>
      <c r="N247">
        <v>20</v>
      </c>
      <c r="U247" s="21"/>
      <c r="V247" s="21"/>
    </row>
    <row r="248" spans="1:22">
      <c r="A248">
        <v>10061</v>
      </c>
      <c r="B248">
        <v>1646</v>
      </c>
      <c r="C248" s="21">
        <v>44956</v>
      </c>
      <c r="D248" s="21">
        <v>44957</v>
      </c>
      <c r="E248" t="s">
        <v>36</v>
      </c>
      <c r="F248" t="s">
        <v>53</v>
      </c>
      <c r="G248" t="s">
        <v>23</v>
      </c>
      <c r="H248" t="s">
        <v>41</v>
      </c>
      <c r="I248" t="s">
        <v>25</v>
      </c>
      <c r="J248" t="s">
        <v>35</v>
      </c>
      <c r="K248" t="s">
        <v>44</v>
      </c>
      <c r="L248">
        <v>7</v>
      </c>
      <c r="M248">
        <v>319.56</v>
      </c>
      <c r="N248">
        <v>10</v>
      </c>
      <c r="U248" s="21"/>
      <c r="V248" s="21"/>
    </row>
    <row r="249" spans="1:22">
      <c r="A249">
        <v>10143</v>
      </c>
      <c r="B249">
        <v>1498</v>
      </c>
      <c r="C249" s="21">
        <v>44986</v>
      </c>
      <c r="D249" s="21">
        <v>44993</v>
      </c>
      <c r="E249" t="s">
        <v>36</v>
      </c>
      <c r="F249" t="s">
        <v>53</v>
      </c>
      <c r="G249" t="s">
        <v>29</v>
      </c>
      <c r="H249" t="s">
        <v>24</v>
      </c>
      <c r="I249" t="s">
        <v>56</v>
      </c>
      <c r="J249" t="s">
        <v>57</v>
      </c>
      <c r="K249" t="s">
        <v>20</v>
      </c>
      <c r="L249">
        <v>7</v>
      </c>
      <c r="M249">
        <v>3680.23</v>
      </c>
      <c r="N249">
        <v>5</v>
      </c>
      <c r="U249" s="21"/>
      <c r="V249" s="21"/>
    </row>
    <row r="250" spans="1:22">
      <c r="A250">
        <v>10170</v>
      </c>
      <c r="B250">
        <v>1725</v>
      </c>
      <c r="C250" s="21">
        <v>45044</v>
      </c>
      <c r="D250" s="21">
        <v>45048</v>
      </c>
      <c r="E250" t="s">
        <v>36</v>
      </c>
      <c r="F250" t="s">
        <v>15</v>
      </c>
      <c r="G250" t="s">
        <v>23</v>
      </c>
      <c r="H250" t="s">
        <v>17</v>
      </c>
      <c r="I250" t="s">
        <v>30</v>
      </c>
      <c r="J250" t="s">
        <v>64</v>
      </c>
      <c r="K250" t="s">
        <v>32</v>
      </c>
      <c r="L250">
        <v>7</v>
      </c>
      <c r="M250">
        <v>2964.96</v>
      </c>
      <c r="N250">
        <v>5</v>
      </c>
      <c r="U250" s="21"/>
      <c r="V250" s="21"/>
    </row>
    <row r="251" spans="1:22">
      <c r="A251">
        <v>10207</v>
      </c>
      <c r="B251">
        <v>1654</v>
      </c>
      <c r="C251" s="21">
        <v>45000</v>
      </c>
      <c r="D251" s="21">
        <v>45006</v>
      </c>
      <c r="E251" t="s">
        <v>36</v>
      </c>
      <c r="F251" t="s">
        <v>40</v>
      </c>
      <c r="G251" t="s">
        <v>23</v>
      </c>
      <c r="H251" t="s">
        <v>43</v>
      </c>
      <c r="I251" t="s">
        <v>48</v>
      </c>
      <c r="J251" t="s">
        <v>50</v>
      </c>
      <c r="K251" t="s">
        <v>32</v>
      </c>
      <c r="L251">
        <v>7</v>
      </c>
      <c r="M251">
        <v>982.56</v>
      </c>
      <c r="N251">
        <v>10</v>
      </c>
      <c r="U251" s="21"/>
      <c r="V251" s="21"/>
    </row>
    <row r="252" spans="1:22">
      <c r="A252">
        <v>10234</v>
      </c>
      <c r="B252">
        <v>1347</v>
      </c>
      <c r="C252" s="21">
        <v>45290</v>
      </c>
      <c r="D252" s="21">
        <v>45295</v>
      </c>
      <c r="E252" t="s">
        <v>36</v>
      </c>
      <c r="F252" t="s">
        <v>15</v>
      </c>
      <c r="G252" t="s">
        <v>29</v>
      </c>
      <c r="H252" t="s">
        <v>43</v>
      </c>
      <c r="I252" t="s">
        <v>30</v>
      </c>
      <c r="J252" t="s">
        <v>47</v>
      </c>
      <c r="K252" t="s">
        <v>32</v>
      </c>
      <c r="L252">
        <v>7</v>
      </c>
      <c r="M252">
        <v>324.38</v>
      </c>
      <c r="N252">
        <v>10</v>
      </c>
      <c r="U252" s="21"/>
      <c r="V252" s="21"/>
    </row>
    <row r="253" spans="1:22">
      <c r="A253">
        <v>10289</v>
      </c>
      <c r="B253">
        <v>1854</v>
      </c>
      <c r="C253" s="21">
        <v>45012</v>
      </c>
      <c r="D253" s="21">
        <v>45014</v>
      </c>
      <c r="E253" t="s">
        <v>36</v>
      </c>
      <c r="F253" t="s">
        <v>53</v>
      </c>
      <c r="G253" t="s">
        <v>16</v>
      </c>
      <c r="H253" t="s">
        <v>24</v>
      </c>
      <c r="I253" t="s">
        <v>56</v>
      </c>
      <c r="J253" t="s">
        <v>57</v>
      </c>
      <c r="K253" t="s">
        <v>20</v>
      </c>
      <c r="L253">
        <v>7</v>
      </c>
      <c r="M253">
        <v>1396.71</v>
      </c>
      <c r="N253">
        <v>20</v>
      </c>
      <c r="U253" s="21"/>
      <c r="V253" s="21"/>
    </row>
    <row r="254" spans="1:22">
      <c r="A254">
        <v>10321</v>
      </c>
      <c r="B254">
        <v>1143</v>
      </c>
      <c r="C254" s="21">
        <v>45270</v>
      </c>
      <c r="D254" s="21">
        <v>45275</v>
      </c>
      <c r="E254" t="s">
        <v>36</v>
      </c>
      <c r="F254" t="s">
        <v>15</v>
      </c>
      <c r="G254" t="s">
        <v>29</v>
      </c>
      <c r="H254" t="s">
        <v>41</v>
      </c>
      <c r="I254" t="s">
        <v>51</v>
      </c>
      <c r="J254" t="s">
        <v>59</v>
      </c>
      <c r="K254" t="s">
        <v>44</v>
      </c>
      <c r="L254">
        <v>7</v>
      </c>
      <c r="M254">
        <v>3383.31</v>
      </c>
      <c r="N254">
        <v>20</v>
      </c>
      <c r="U254" s="21"/>
      <c r="V254" s="21"/>
    </row>
    <row r="255" spans="1:22">
      <c r="A255">
        <v>10325</v>
      </c>
      <c r="B255">
        <v>1186</v>
      </c>
      <c r="C255" s="21">
        <v>45025</v>
      </c>
      <c r="D255" s="21">
        <v>45030</v>
      </c>
      <c r="E255" t="s">
        <v>36</v>
      </c>
      <c r="F255" t="s">
        <v>37</v>
      </c>
      <c r="G255" t="s">
        <v>29</v>
      </c>
      <c r="H255" t="s">
        <v>34</v>
      </c>
      <c r="I255" t="s">
        <v>51</v>
      </c>
      <c r="J255" t="s">
        <v>63</v>
      </c>
      <c r="K255" t="s">
        <v>44</v>
      </c>
      <c r="L255">
        <v>7</v>
      </c>
      <c r="M255">
        <v>730.15</v>
      </c>
      <c r="N255">
        <v>0</v>
      </c>
      <c r="U255" s="21"/>
      <c r="V255" s="21"/>
    </row>
    <row r="256" spans="1:22">
      <c r="A256">
        <v>10330</v>
      </c>
      <c r="B256">
        <v>1659</v>
      </c>
      <c r="C256" s="21">
        <v>44958</v>
      </c>
      <c r="D256" s="21">
        <v>44966</v>
      </c>
      <c r="E256" t="s">
        <v>36</v>
      </c>
      <c r="F256" t="s">
        <v>53</v>
      </c>
      <c r="G256" t="s">
        <v>16</v>
      </c>
      <c r="H256" t="s">
        <v>43</v>
      </c>
      <c r="I256" t="s">
        <v>51</v>
      </c>
      <c r="J256" t="s">
        <v>63</v>
      </c>
      <c r="K256" t="s">
        <v>20</v>
      </c>
      <c r="L256">
        <v>7</v>
      </c>
      <c r="M256">
        <v>3978.5</v>
      </c>
      <c r="N256">
        <v>20</v>
      </c>
      <c r="U256" s="21"/>
      <c r="V256" s="21"/>
    </row>
    <row r="257" spans="1:22">
      <c r="A257">
        <v>10409</v>
      </c>
      <c r="B257">
        <v>1705</v>
      </c>
      <c r="C257" s="21">
        <v>45028</v>
      </c>
      <c r="D257" s="21">
        <v>45034</v>
      </c>
      <c r="E257" t="s">
        <v>36</v>
      </c>
      <c r="F257" t="s">
        <v>15</v>
      </c>
      <c r="G257" t="s">
        <v>23</v>
      </c>
      <c r="H257" t="s">
        <v>17</v>
      </c>
      <c r="I257" t="s">
        <v>30</v>
      </c>
      <c r="J257" t="s">
        <v>38</v>
      </c>
      <c r="K257" t="s">
        <v>32</v>
      </c>
      <c r="L257">
        <v>7</v>
      </c>
      <c r="M257">
        <v>1020.23</v>
      </c>
      <c r="N257">
        <v>10</v>
      </c>
      <c r="U257" s="21"/>
      <c r="V257" s="21"/>
    </row>
    <row r="258" spans="1:22">
      <c r="A258">
        <v>10014</v>
      </c>
      <c r="B258">
        <v>1458</v>
      </c>
      <c r="C258" s="21">
        <v>45039</v>
      </c>
      <c r="D258" s="21">
        <v>45045</v>
      </c>
      <c r="E258" t="s">
        <v>36</v>
      </c>
      <c r="F258" t="s">
        <v>37</v>
      </c>
      <c r="G258" t="s">
        <v>29</v>
      </c>
      <c r="H258" t="s">
        <v>34</v>
      </c>
      <c r="I258" t="s">
        <v>25</v>
      </c>
      <c r="J258" t="s">
        <v>35</v>
      </c>
      <c r="K258" t="s">
        <v>27</v>
      </c>
      <c r="L258">
        <v>8</v>
      </c>
      <c r="M258">
        <v>1074.27</v>
      </c>
      <c r="N258">
        <v>15</v>
      </c>
      <c r="U258" s="21"/>
      <c r="V258" s="21"/>
    </row>
    <row r="259" spans="1:22">
      <c r="A259">
        <v>10041</v>
      </c>
      <c r="B259">
        <v>1058</v>
      </c>
      <c r="C259" s="21">
        <v>45211</v>
      </c>
      <c r="D259" s="21">
        <v>45220</v>
      </c>
      <c r="E259" t="s">
        <v>36</v>
      </c>
      <c r="F259" t="s">
        <v>15</v>
      </c>
      <c r="G259" t="s">
        <v>16</v>
      </c>
      <c r="H259" t="s">
        <v>24</v>
      </c>
      <c r="I259" t="s">
        <v>51</v>
      </c>
      <c r="J259" t="s">
        <v>63</v>
      </c>
      <c r="K259" t="s">
        <v>20</v>
      </c>
      <c r="L259">
        <v>8</v>
      </c>
      <c r="M259">
        <v>3158.8</v>
      </c>
      <c r="N259">
        <v>0</v>
      </c>
      <c r="U259" s="21"/>
      <c r="V259" s="21"/>
    </row>
    <row r="260" spans="1:22">
      <c r="A260">
        <v>10046</v>
      </c>
      <c r="B260">
        <v>1975</v>
      </c>
      <c r="C260" s="21">
        <v>45209</v>
      </c>
      <c r="D260" s="21">
        <v>45211</v>
      </c>
      <c r="E260" t="s">
        <v>36</v>
      </c>
      <c r="F260" t="s">
        <v>53</v>
      </c>
      <c r="G260" t="s">
        <v>23</v>
      </c>
      <c r="H260" t="s">
        <v>17</v>
      </c>
      <c r="I260" t="s">
        <v>48</v>
      </c>
      <c r="J260" t="s">
        <v>50</v>
      </c>
      <c r="K260" t="s">
        <v>44</v>
      </c>
      <c r="L260">
        <v>8</v>
      </c>
      <c r="M260">
        <v>444.79</v>
      </c>
      <c r="N260">
        <v>10</v>
      </c>
      <c r="U260" s="21"/>
      <c r="V260" s="21"/>
    </row>
    <row r="261" spans="1:22">
      <c r="A261">
        <v>10083</v>
      </c>
      <c r="B261">
        <v>1942</v>
      </c>
      <c r="C261" s="21">
        <v>45228</v>
      </c>
      <c r="D261" s="21">
        <v>45232</v>
      </c>
      <c r="E261" t="s">
        <v>36</v>
      </c>
      <c r="F261" t="s">
        <v>22</v>
      </c>
      <c r="G261" t="s">
        <v>16</v>
      </c>
      <c r="H261" t="s">
        <v>24</v>
      </c>
      <c r="I261" t="s">
        <v>56</v>
      </c>
      <c r="J261" t="s">
        <v>61</v>
      </c>
      <c r="K261" t="s">
        <v>20</v>
      </c>
      <c r="L261">
        <v>8</v>
      </c>
      <c r="M261">
        <v>997.34</v>
      </c>
      <c r="N261">
        <v>5</v>
      </c>
      <c r="U261" s="21"/>
      <c r="V261" s="21"/>
    </row>
    <row r="262" spans="1:22">
      <c r="A262">
        <v>10162</v>
      </c>
      <c r="B262">
        <v>1502</v>
      </c>
      <c r="C262" s="21">
        <v>45072</v>
      </c>
      <c r="D262" s="21">
        <v>45074</v>
      </c>
      <c r="E262" t="s">
        <v>36</v>
      </c>
      <c r="F262" t="s">
        <v>28</v>
      </c>
      <c r="G262" t="s">
        <v>23</v>
      </c>
      <c r="H262" t="s">
        <v>43</v>
      </c>
      <c r="I262" t="s">
        <v>56</v>
      </c>
      <c r="J262" t="s">
        <v>57</v>
      </c>
      <c r="K262" t="s">
        <v>32</v>
      </c>
      <c r="L262">
        <v>8</v>
      </c>
      <c r="M262">
        <v>1227.5899999999999</v>
      </c>
      <c r="N262">
        <v>5</v>
      </c>
      <c r="U262" s="21"/>
      <c r="V262" s="21"/>
    </row>
    <row r="263" spans="1:22">
      <c r="A263">
        <v>10168</v>
      </c>
      <c r="B263">
        <v>1683</v>
      </c>
      <c r="C263" s="21">
        <v>45229</v>
      </c>
      <c r="D263" s="21">
        <v>45232</v>
      </c>
      <c r="E263" t="s">
        <v>36</v>
      </c>
      <c r="F263" t="s">
        <v>15</v>
      </c>
      <c r="G263" t="s">
        <v>29</v>
      </c>
      <c r="H263" t="s">
        <v>43</v>
      </c>
      <c r="I263" t="s">
        <v>51</v>
      </c>
      <c r="J263" t="s">
        <v>55</v>
      </c>
      <c r="K263" t="s">
        <v>44</v>
      </c>
      <c r="L263">
        <v>8</v>
      </c>
      <c r="M263">
        <v>187.29</v>
      </c>
      <c r="N263">
        <v>5</v>
      </c>
      <c r="U263" s="21"/>
      <c r="V263" s="21"/>
    </row>
    <row r="264" spans="1:22">
      <c r="A264">
        <v>10196</v>
      </c>
      <c r="B264">
        <v>1863</v>
      </c>
      <c r="C264" s="21">
        <v>45124</v>
      </c>
      <c r="D264" s="21">
        <v>45133</v>
      </c>
      <c r="E264" t="s">
        <v>36</v>
      </c>
      <c r="F264" t="s">
        <v>28</v>
      </c>
      <c r="G264" t="s">
        <v>29</v>
      </c>
      <c r="H264" t="s">
        <v>43</v>
      </c>
      <c r="I264" t="s">
        <v>51</v>
      </c>
      <c r="J264" t="s">
        <v>52</v>
      </c>
      <c r="K264" t="s">
        <v>20</v>
      </c>
      <c r="L264">
        <v>8</v>
      </c>
      <c r="M264">
        <v>2561.86</v>
      </c>
      <c r="N264">
        <v>0</v>
      </c>
      <c r="U264" s="21"/>
      <c r="V264" s="21"/>
    </row>
    <row r="265" spans="1:22">
      <c r="A265">
        <v>10220</v>
      </c>
      <c r="B265">
        <v>1556</v>
      </c>
      <c r="C265" s="21">
        <v>45026</v>
      </c>
      <c r="D265" s="21">
        <v>45035</v>
      </c>
      <c r="E265" t="s">
        <v>36</v>
      </c>
      <c r="F265" t="s">
        <v>15</v>
      </c>
      <c r="G265" t="s">
        <v>23</v>
      </c>
      <c r="H265" t="s">
        <v>17</v>
      </c>
      <c r="I265" t="s">
        <v>18</v>
      </c>
      <c r="J265" t="s">
        <v>54</v>
      </c>
      <c r="K265" t="s">
        <v>20</v>
      </c>
      <c r="L265">
        <v>8</v>
      </c>
      <c r="M265">
        <v>3240.98</v>
      </c>
      <c r="N265">
        <v>0</v>
      </c>
      <c r="U265" s="21"/>
      <c r="V265" s="21"/>
    </row>
    <row r="266" spans="1:22">
      <c r="A266">
        <v>10290</v>
      </c>
      <c r="B266">
        <v>1996</v>
      </c>
      <c r="C266" s="21">
        <v>45215</v>
      </c>
      <c r="D266" s="21">
        <v>45218</v>
      </c>
      <c r="E266" t="s">
        <v>36</v>
      </c>
      <c r="F266" t="s">
        <v>40</v>
      </c>
      <c r="G266" t="s">
        <v>29</v>
      </c>
      <c r="H266" t="s">
        <v>17</v>
      </c>
      <c r="I266" t="s">
        <v>18</v>
      </c>
      <c r="J266" t="s">
        <v>19</v>
      </c>
      <c r="K266" t="s">
        <v>27</v>
      </c>
      <c r="L266">
        <v>8</v>
      </c>
      <c r="M266">
        <v>2695.39</v>
      </c>
      <c r="N266">
        <v>10</v>
      </c>
      <c r="U266" s="21"/>
      <c r="V266" s="21"/>
    </row>
    <row r="267" spans="1:22">
      <c r="A267">
        <v>10315</v>
      </c>
      <c r="B267">
        <v>1609</v>
      </c>
      <c r="C267" s="21">
        <v>45024</v>
      </c>
      <c r="D267" s="21">
        <v>45029</v>
      </c>
      <c r="E267" t="s">
        <v>36</v>
      </c>
      <c r="F267" t="s">
        <v>28</v>
      </c>
      <c r="G267" t="s">
        <v>23</v>
      </c>
      <c r="H267" t="s">
        <v>17</v>
      </c>
      <c r="I267" t="s">
        <v>48</v>
      </c>
      <c r="J267" t="s">
        <v>49</v>
      </c>
      <c r="K267" t="s">
        <v>44</v>
      </c>
      <c r="L267">
        <v>8</v>
      </c>
      <c r="M267">
        <v>3253.02</v>
      </c>
      <c r="N267">
        <v>15</v>
      </c>
      <c r="U267" s="21"/>
      <c r="V267" s="21"/>
    </row>
    <row r="268" spans="1:22">
      <c r="A268">
        <v>10357</v>
      </c>
      <c r="B268">
        <v>1414</v>
      </c>
      <c r="C268" s="21">
        <v>45205</v>
      </c>
      <c r="D268" s="21">
        <v>45213</v>
      </c>
      <c r="E268" t="s">
        <v>36</v>
      </c>
      <c r="F268" t="s">
        <v>37</v>
      </c>
      <c r="G268" t="s">
        <v>16</v>
      </c>
      <c r="H268" t="s">
        <v>24</v>
      </c>
      <c r="I268" t="s">
        <v>56</v>
      </c>
      <c r="J268" t="s">
        <v>57</v>
      </c>
      <c r="K268" t="s">
        <v>27</v>
      </c>
      <c r="L268">
        <v>8</v>
      </c>
      <c r="M268">
        <v>1300.31</v>
      </c>
      <c r="N268">
        <v>0</v>
      </c>
      <c r="U268" s="21"/>
      <c r="V268" s="21"/>
    </row>
    <row r="269" spans="1:22">
      <c r="A269">
        <v>10413</v>
      </c>
      <c r="B269">
        <v>1956</v>
      </c>
      <c r="C269" s="21">
        <v>45054</v>
      </c>
      <c r="D269" s="21">
        <v>45056</v>
      </c>
      <c r="E269" t="s">
        <v>36</v>
      </c>
      <c r="F269" t="s">
        <v>53</v>
      </c>
      <c r="G269" t="s">
        <v>23</v>
      </c>
      <c r="H269" t="s">
        <v>17</v>
      </c>
      <c r="I269" t="s">
        <v>51</v>
      </c>
      <c r="J269" t="s">
        <v>52</v>
      </c>
      <c r="K269" t="s">
        <v>27</v>
      </c>
      <c r="L269">
        <v>8</v>
      </c>
      <c r="M269">
        <v>1297.5899999999999</v>
      </c>
      <c r="N269">
        <v>0</v>
      </c>
      <c r="U269" s="21"/>
      <c r="V269" s="21"/>
    </row>
    <row r="270" spans="1:22">
      <c r="A270">
        <v>10057</v>
      </c>
      <c r="B270">
        <v>1504</v>
      </c>
      <c r="C270" s="21">
        <v>45117</v>
      </c>
      <c r="D270" s="21">
        <v>45122</v>
      </c>
      <c r="E270" t="s">
        <v>36</v>
      </c>
      <c r="F270" t="s">
        <v>28</v>
      </c>
      <c r="G270" t="s">
        <v>16</v>
      </c>
      <c r="H270" t="s">
        <v>24</v>
      </c>
      <c r="I270" t="s">
        <v>56</v>
      </c>
      <c r="J270" t="s">
        <v>57</v>
      </c>
      <c r="K270" t="s">
        <v>32</v>
      </c>
      <c r="L270">
        <v>9</v>
      </c>
      <c r="M270">
        <v>1012.33</v>
      </c>
      <c r="N270">
        <v>20</v>
      </c>
      <c r="U270" s="21"/>
      <c r="V270" s="21"/>
    </row>
    <row r="271" spans="1:22">
      <c r="A271">
        <v>10097</v>
      </c>
      <c r="B271">
        <v>1476</v>
      </c>
      <c r="C271" s="21">
        <v>45047</v>
      </c>
      <c r="D271" s="21">
        <v>45056</v>
      </c>
      <c r="E271" t="s">
        <v>36</v>
      </c>
      <c r="F271" t="s">
        <v>22</v>
      </c>
      <c r="G271" t="s">
        <v>23</v>
      </c>
      <c r="H271" t="s">
        <v>17</v>
      </c>
      <c r="I271" t="s">
        <v>51</v>
      </c>
      <c r="J271" t="s">
        <v>59</v>
      </c>
      <c r="K271" t="s">
        <v>27</v>
      </c>
      <c r="L271">
        <v>9</v>
      </c>
      <c r="M271">
        <v>501.79</v>
      </c>
      <c r="N271">
        <v>5</v>
      </c>
      <c r="U271" s="21"/>
      <c r="V271" s="21"/>
    </row>
    <row r="272" spans="1:22">
      <c r="A272">
        <v>10179</v>
      </c>
      <c r="B272">
        <v>1768</v>
      </c>
      <c r="C272" s="21">
        <v>44973</v>
      </c>
      <c r="D272" s="21">
        <v>44976</v>
      </c>
      <c r="E272" t="s">
        <v>36</v>
      </c>
      <c r="F272" t="s">
        <v>15</v>
      </c>
      <c r="G272" t="s">
        <v>29</v>
      </c>
      <c r="H272" t="s">
        <v>24</v>
      </c>
      <c r="I272" t="s">
        <v>30</v>
      </c>
      <c r="J272" t="s">
        <v>31</v>
      </c>
      <c r="K272" t="s">
        <v>20</v>
      </c>
      <c r="L272">
        <v>9</v>
      </c>
      <c r="M272">
        <v>388.26</v>
      </c>
      <c r="N272">
        <v>10</v>
      </c>
      <c r="U272" s="21"/>
      <c r="V272" s="21"/>
    </row>
    <row r="273" spans="1:22">
      <c r="A273">
        <v>10355</v>
      </c>
      <c r="B273">
        <v>1945</v>
      </c>
      <c r="C273" s="21">
        <v>45188</v>
      </c>
      <c r="D273" s="21">
        <v>45191</v>
      </c>
      <c r="E273" t="s">
        <v>36</v>
      </c>
      <c r="F273" t="s">
        <v>22</v>
      </c>
      <c r="G273" t="s">
        <v>29</v>
      </c>
      <c r="H273" t="s">
        <v>34</v>
      </c>
      <c r="I273" t="s">
        <v>51</v>
      </c>
      <c r="J273" t="s">
        <v>52</v>
      </c>
      <c r="K273" t="s">
        <v>20</v>
      </c>
      <c r="L273">
        <v>9</v>
      </c>
      <c r="M273">
        <v>2632.88</v>
      </c>
      <c r="N273">
        <v>5</v>
      </c>
      <c r="U273" s="21"/>
      <c r="V273" s="21"/>
    </row>
    <row r="274" spans="1:22">
      <c r="A274">
        <v>10030</v>
      </c>
      <c r="B274">
        <v>1955</v>
      </c>
      <c r="C274" s="21">
        <v>45077</v>
      </c>
      <c r="D274" s="21">
        <v>45082</v>
      </c>
      <c r="E274" t="s">
        <v>45</v>
      </c>
      <c r="F274" t="s">
        <v>22</v>
      </c>
      <c r="G274" t="s">
        <v>29</v>
      </c>
      <c r="H274" t="s">
        <v>34</v>
      </c>
      <c r="I274" t="s">
        <v>25</v>
      </c>
      <c r="J274" t="s">
        <v>60</v>
      </c>
      <c r="K274" t="s">
        <v>44</v>
      </c>
      <c r="L274">
        <v>1</v>
      </c>
      <c r="M274">
        <v>349.38</v>
      </c>
      <c r="N274">
        <v>10</v>
      </c>
      <c r="U274" s="21"/>
      <c r="V274" s="21"/>
    </row>
    <row r="275" spans="1:22">
      <c r="A275">
        <v>10085</v>
      </c>
      <c r="B275">
        <v>1205</v>
      </c>
      <c r="C275" s="21">
        <v>45145</v>
      </c>
      <c r="D275" s="21">
        <v>45148</v>
      </c>
      <c r="E275" t="s">
        <v>45</v>
      </c>
      <c r="F275" t="s">
        <v>15</v>
      </c>
      <c r="G275" t="s">
        <v>29</v>
      </c>
      <c r="H275" t="s">
        <v>17</v>
      </c>
      <c r="I275" t="s">
        <v>48</v>
      </c>
      <c r="J275" t="s">
        <v>49</v>
      </c>
      <c r="K275" t="s">
        <v>27</v>
      </c>
      <c r="L275">
        <v>1</v>
      </c>
      <c r="M275">
        <v>2883.94</v>
      </c>
      <c r="N275">
        <v>20</v>
      </c>
      <c r="U275" s="21"/>
      <c r="V275" s="21"/>
    </row>
    <row r="276" spans="1:22">
      <c r="A276">
        <v>10249</v>
      </c>
      <c r="B276">
        <v>1709</v>
      </c>
      <c r="C276" s="21">
        <v>45255</v>
      </c>
      <c r="D276" s="21">
        <v>45263</v>
      </c>
      <c r="E276" t="s">
        <v>45</v>
      </c>
      <c r="F276" t="s">
        <v>40</v>
      </c>
      <c r="G276" t="s">
        <v>16</v>
      </c>
      <c r="H276" t="s">
        <v>17</v>
      </c>
      <c r="I276" t="s">
        <v>30</v>
      </c>
      <c r="J276" t="s">
        <v>64</v>
      </c>
      <c r="K276" t="s">
        <v>44</v>
      </c>
      <c r="L276">
        <v>1</v>
      </c>
      <c r="M276">
        <v>3942.92</v>
      </c>
      <c r="N276">
        <v>0</v>
      </c>
      <c r="U276" s="21"/>
      <c r="V276" s="21"/>
    </row>
    <row r="277" spans="1:22">
      <c r="A277">
        <v>10306</v>
      </c>
      <c r="B277">
        <v>1202</v>
      </c>
      <c r="C277" s="21">
        <v>45256</v>
      </c>
      <c r="D277" s="21">
        <v>45264</v>
      </c>
      <c r="E277" t="s">
        <v>45</v>
      </c>
      <c r="F277" t="s">
        <v>28</v>
      </c>
      <c r="G277" t="s">
        <v>29</v>
      </c>
      <c r="H277" t="s">
        <v>41</v>
      </c>
      <c r="I277" t="s">
        <v>56</v>
      </c>
      <c r="J277" t="s">
        <v>61</v>
      </c>
      <c r="K277" t="s">
        <v>27</v>
      </c>
      <c r="L277">
        <v>1</v>
      </c>
      <c r="M277">
        <v>3391.76</v>
      </c>
      <c r="N277">
        <v>20</v>
      </c>
      <c r="U277" s="21"/>
      <c r="V277" s="21"/>
    </row>
    <row r="278" spans="1:22">
      <c r="A278">
        <v>10312</v>
      </c>
      <c r="B278">
        <v>1279</v>
      </c>
      <c r="C278" s="21">
        <v>44983</v>
      </c>
      <c r="D278" s="21">
        <v>44990</v>
      </c>
      <c r="E278" t="s">
        <v>45</v>
      </c>
      <c r="F278" t="s">
        <v>37</v>
      </c>
      <c r="G278" t="s">
        <v>29</v>
      </c>
      <c r="H278" t="s">
        <v>17</v>
      </c>
      <c r="I278" t="s">
        <v>51</v>
      </c>
      <c r="J278" t="s">
        <v>55</v>
      </c>
      <c r="K278" t="s">
        <v>32</v>
      </c>
      <c r="L278">
        <v>1</v>
      </c>
      <c r="M278">
        <v>2588.64</v>
      </c>
      <c r="N278">
        <v>0</v>
      </c>
      <c r="U278" s="21"/>
      <c r="V278" s="21"/>
    </row>
    <row r="279" spans="1:22">
      <c r="A279">
        <v>10414</v>
      </c>
      <c r="B279">
        <v>1680</v>
      </c>
      <c r="C279" s="21">
        <v>45209</v>
      </c>
      <c r="D279" s="21">
        <v>45212</v>
      </c>
      <c r="E279" t="s">
        <v>45</v>
      </c>
      <c r="F279" t="s">
        <v>53</v>
      </c>
      <c r="G279" t="s">
        <v>29</v>
      </c>
      <c r="H279" t="s">
        <v>41</v>
      </c>
      <c r="I279" t="s">
        <v>25</v>
      </c>
      <c r="J279" t="s">
        <v>35</v>
      </c>
      <c r="K279" t="s">
        <v>44</v>
      </c>
      <c r="L279">
        <v>1</v>
      </c>
      <c r="M279">
        <v>1219.7</v>
      </c>
      <c r="N279">
        <v>5</v>
      </c>
      <c r="U279" s="21"/>
      <c r="V279" s="21"/>
    </row>
    <row r="280" spans="1:22">
      <c r="A280">
        <v>10452</v>
      </c>
      <c r="B280">
        <v>1283</v>
      </c>
      <c r="C280" s="21">
        <v>45076</v>
      </c>
      <c r="D280" s="21">
        <v>45082</v>
      </c>
      <c r="E280" t="s">
        <v>45</v>
      </c>
      <c r="F280" t="s">
        <v>22</v>
      </c>
      <c r="G280" t="s">
        <v>23</v>
      </c>
      <c r="H280" t="s">
        <v>41</v>
      </c>
      <c r="I280" t="s">
        <v>48</v>
      </c>
      <c r="J280" t="s">
        <v>66</v>
      </c>
      <c r="K280" t="s">
        <v>27</v>
      </c>
      <c r="L280">
        <v>1</v>
      </c>
      <c r="M280">
        <v>1574.59</v>
      </c>
      <c r="N280">
        <v>5</v>
      </c>
      <c r="U280" s="21"/>
      <c r="V280" s="21"/>
    </row>
    <row r="281" spans="1:22">
      <c r="A281">
        <v>10464</v>
      </c>
      <c r="B281">
        <v>1511</v>
      </c>
      <c r="C281" s="21">
        <v>45174</v>
      </c>
      <c r="D281" s="21">
        <v>45176</v>
      </c>
      <c r="E281" t="s">
        <v>45</v>
      </c>
      <c r="F281" t="s">
        <v>22</v>
      </c>
      <c r="G281" t="s">
        <v>29</v>
      </c>
      <c r="H281" t="s">
        <v>41</v>
      </c>
      <c r="I281" t="s">
        <v>30</v>
      </c>
      <c r="J281" t="s">
        <v>64</v>
      </c>
      <c r="K281" t="s">
        <v>46</v>
      </c>
      <c r="L281">
        <v>1</v>
      </c>
      <c r="M281">
        <v>559.4</v>
      </c>
      <c r="N281">
        <v>20</v>
      </c>
      <c r="U281" s="21"/>
      <c r="V281" s="21"/>
    </row>
    <row r="282" spans="1:22">
      <c r="A282">
        <v>10020</v>
      </c>
      <c r="B282">
        <v>1130</v>
      </c>
      <c r="C282" s="21">
        <v>45194</v>
      </c>
      <c r="D282" s="21">
        <v>45203</v>
      </c>
      <c r="E282" t="s">
        <v>45</v>
      </c>
      <c r="F282" t="s">
        <v>37</v>
      </c>
      <c r="G282" t="s">
        <v>16</v>
      </c>
      <c r="H282" t="s">
        <v>17</v>
      </c>
      <c r="I282" t="s">
        <v>48</v>
      </c>
      <c r="J282" t="s">
        <v>50</v>
      </c>
      <c r="K282" t="s">
        <v>20</v>
      </c>
      <c r="L282">
        <v>2</v>
      </c>
      <c r="M282">
        <v>3959.31</v>
      </c>
      <c r="N282">
        <v>5</v>
      </c>
      <c r="U282" s="21"/>
      <c r="V282" s="21"/>
    </row>
    <row r="283" spans="1:22">
      <c r="A283">
        <v>10139</v>
      </c>
      <c r="B283">
        <v>1647</v>
      </c>
      <c r="C283" s="21">
        <v>45084</v>
      </c>
      <c r="D283" s="21">
        <v>45087</v>
      </c>
      <c r="E283" t="s">
        <v>45</v>
      </c>
      <c r="F283" t="s">
        <v>22</v>
      </c>
      <c r="G283" t="s">
        <v>16</v>
      </c>
      <c r="H283" t="s">
        <v>41</v>
      </c>
      <c r="I283" t="s">
        <v>51</v>
      </c>
      <c r="J283" t="s">
        <v>52</v>
      </c>
      <c r="K283" t="s">
        <v>44</v>
      </c>
      <c r="L283">
        <v>2</v>
      </c>
      <c r="M283">
        <v>402.91</v>
      </c>
      <c r="N283">
        <v>10</v>
      </c>
      <c r="U283" s="21"/>
      <c r="V283" s="21"/>
    </row>
    <row r="284" spans="1:22">
      <c r="A284">
        <v>10305</v>
      </c>
      <c r="B284">
        <v>1438</v>
      </c>
      <c r="C284" s="21">
        <v>44991</v>
      </c>
      <c r="D284" s="21">
        <v>44993</v>
      </c>
      <c r="E284" t="s">
        <v>45</v>
      </c>
      <c r="F284" t="s">
        <v>40</v>
      </c>
      <c r="G284" t="s">
        <v>16</v>
      </c>
      <c r="H284" t="s">
        <v>34</v>
      </c>
      <c r="I284" t="s">
        <v>30</v>
      </c>
      <c r="J284" t="s">
        <v>47</v>
      </c>
      <c r="K284" t="s">
        <v>20</v>
      </c>
      <c r="L284">
        <v>2</v>
      </c>
      <c r="M284">
        <v>3256.02</v>
      </c>
      <c r="N284">
        <v>20</v>
      </c>
      <c r="U284" s="21"/>
      <c r="V284" s="21"/>
    </row>
    <row r="285" spans="1:22">
      <c r="A285">
        <v>10352</v>
      </c>
      <c r="B285">
        <v>1987</v>
      </c>
      <c r="C285" s="21">
        <v>45023</v>
      </c>
      <c r="D285" s="21">
        <v>45026</v>
      </c>
      <c r="E285" t="s">
        <v>45</v>
      </c>
      <c r="F285" t="s">
        <v>22</v>
      </c>
      <c r="G285" t="s">
        <v>29</v>
      </c>
      <c r="H285" t="s">
        <v>17</v>
      </c>
      <c r="I285" t="s">
        <v>25</v>
      </c>
      <c r="J285" t="s">
        <v>35</v>
      </c>
      <c r="K285" t="s">
        <v>44</v>
      </c>
      <c r="L285">
        <v>2</v>
      </c>
      <c r="M285">
        <v>2071.04</v>
      </c>
      <c r="N285">
        <v>20</v>
      </c>
      <c r="U285" s="21"/>
      <c r="V285" s="21"/>
    </row>
    <row r="286" spans="1:22">
      <c r="A286">
        <v>10021</v>
      </c>
      <c r="B286">
        <v>1661</v>
      </c>
      <c r="C286" s="21">
        <v>45159</v>
      </c>
      <c r="D286" s="21">
        <v>45163</v>
      </c>
      <c r="E286" t="s">
        <v>45</v>
      </c>
      <c r="F286" t="s">
        <v>28</v>
      </c>
      <c r="G286" t="s">
        <v>23</v>
      </c>
      <c r="H286" t="s">
        <v>17</v>
      </c>
      <c r="I286" t="s">
        <v>51</v>
      </c>
      <c r="J286" t="s">
        <v>55</v>
      </c>
      <c r="K286" t="s">
        <v>20</v>
      </c>
      <c r="L286">
        <v>3</v>
      </c>
      <c r="M286">
        <v>2361.58</v>
      </c>
      <c r="N286">
        <v>5</v>
      </c>
      <c r="U286" s="21"/>
      <c r="V286" s="21"/>
    </row>
    <row r="287" spans="1:22">
      <c r="A287">
        <v>10029</v>
      </c>
      <c r="B287">
        <v>1191</v>
      </c>
      <c r="C287" s="21">
        <v>45061</v>
      </c>
      <c r="D287" s="21">
        <v>45067</v>
      </c>
      <c r="E287" t="s">
        <v>45</v>
      </c>
      <c r="F287" t="s">
        <v>28</v>
      </c>
      <c r="G287" t="s">
        <v>16</v>
      </c>
      <c r="H287" t="s">
        <v>17</v>
      </c>
      <c r="I287" t="s">
        <v>25</v>
      </c>
      <c r="J287" t="s">
        <v>26</v>
      </c>
      <c r="K287" t="s">
        <v>32</v>
      </c>
      <c r="L287">
        <v>3</v>
      </c>
      <c r="M287">
        <v>759.47</v>
      </c>
      <c r="N287">
        <v>15</v>
      </c>
      <c r="U287" s="21"/>
      <c r="V287" s="21"/>
    </row>
    <row r="288" spans="1:22">
      <c r="A288">
        <v>10092</v>
      </c>
      <c r="B288">
        <v>1389</v>
      </c>
      <c r="C288" s="21">
        <v>45240</v>
      </c>
      <c r="D288" s="21">
        <v>45246</v>
      </c>
      <c r="E288" t="s">
        <v>45</v>
      </c>
      <c r="F288" t="s">
        <v>37</v>
      </c>
      <c r="G288" t="s">
        <v>29</v>
      </c>
      <c r="H288" t="s">
        <v>17</v>
      </c>
      <c r="I288" t="s">
        <v>48</v>
      </c>
      <c r="J288" t="s">
        <v>49</v>
      </c>
      <c r="K288" t="s">
        <v>32</v>
      </c>
      <c r="L288">
        <v>3</v>
      </c>
      <c r="M288">
        <v>343.33</v>
      </c>
      <c r="N288">
        <v>5</v>
      </c>
      <c r="U288" s="21"/>
      <c r="V288" s="21"/>
    </row>
    <row r="289" spans="1:22">
      <c r="A289">
        <v>10099</v>
      </c>
      <c r="B289">
        <v>1401</v>
      </c>
      <c r="C289" s="21">
        <v>45001</v>
      </c>
      <c r="D289" s="21">
        <v>45009</v>
      </c>
      <c r="E289" t="s">
        <v>45</v>
      </c>
      <c r="F289" t="s">
        <v>37</v>
      </c>
      <c r="G289" t="s">
        <v>16</v>
      </c>
      <c r="H289" t="s">
        <v>41</v>
      </c>
      <c r="I289" t="s">
        <v>51</v>
      </c>
      <c r="J289" t="s">
        <v>52</v>
      </c>
      <c r="K289" t="s">
        <v>27</v>
      </c>
      <c r="L289">
        <v>3</v>
      </c>
      <c r="M289">
        <v>315.75</v>
      </c>
      <c r="N289">
        <v>20</v>
      </c>
      <c r="U289" s="21"/>
      <c r="V289" s="21"/>
    </row>
    <row r="290" spans="1:22">
      <c r="A290">
        <v>10106</v>
      </c>
      <c r="B290">
        <v>1269</v>
      </c>
      <c r="C290" s="21">
        <v>45112</v>
      </c>
      <c r="D290" s="21">
        <v>45113</v>
      </c>
      <c r="E290" t="s">
        <v>45</v>
      </c>
      <c r="F290" t="s">
        <v>22</v>
      </c>
      <c r="G290" t="s">
        <v>29</v>
      </c>
      <c r="H290" t="s">
        <v>24</v>
      </c>
      <c r="I290" t="s">
        <v>48</v>
      </c>
      <c r="J290" t="s">
        <v>62</v>
      </c>
      <c r="K290" t="s">
        <v>46</v>
      </c>
      <c r="L290">
        <v>3</v>
      </c>
      <c r="M290">
        <v>3781.22</v>
      </c>
      <c r="N290">
        <v>5</v>
      </c>
      <c r="U290" s="21"/>
      <c r="V290" s="21"/>
    </row>
    <row r="291" spans="1:22">
      <c r="A291">
        <v>10351</v>
      </c>
      <c r="B291">
        <v>1778</v>
      </c>
      <c r="C291" s="21">
        <v>44970</v>
      </c>
      <c r="D291" s="21">
        <v>44972</v>
      </c>
      <c r="E291" t="s">
        <v>45</v>
      </c>
      <c r="F291" t="s">
        <v>15</v>
      </c>
      <c r="G291" t="s">
        <v>29</v>
      </c>
      <c r="H291" t="s">
        <v>34</v>
      </c>
      <c r="I291" t="s">
        <v>30</v>
      </c>
      <c r="J291" t="s">
        <v>31</v>
      </c>
      <c r="K291" t="s">
        <v>44</v>
      </c>
      <c r="L291">
        <v>3</v>
      </c>
      <c r="M291">
        <v>1923.58</v>
      </c>
      <c r="N291">
        <v>15</v>
      </c>
      <c r="U291" s="21"/>
      <c r="V291" s="21"/>
    </row>
    <row r="292" spans="1:22">
      <c r="A292">
        <v>10411</v>
      </c>
      <c r="B292">
        <v>1162</v>
      </c>
      <c r="C292" s="21">
        <v>44985</v>
      </c>
      <c r="D292" s="21">
        <v>44993</v>
      </c>
      <c r="E292" t="s">
        <v>45</v>
      </c>
      <c r="F292" t="s">
        <v>15</v>
      </c>
      <c r="G292" t="s">
        <v>29</v>
      </c>
      <c r="H292" t="s">
        <v>24</v>
      </c>
      <c r="I292" t="s">
        <v>18</v>
      </c>
      <c r="J292" t="s">
        <v>42</v>
      </c>
      <c r="K292" t="s">
        <v>32</v>
      </c>
      <c r="L292">
        <v>3</v>
      </c>
      <c r="M292">
        <v>2165.7199999999998</v>
      </c>
      <c r="N292">
        <v>5</v>
      </c>
      <c r="U292" s="21"/>
      <c r="V292" s="21"/>
    </row>
    <row r="293" spans="1:22">
      <c r="A293">
        <v>10008</v>
      </c>
      <c r="B293">
        <v>1020</v>
      </c>
      <c r="C293" s="21">
        <v>45040</v>
      </c>
      <c r="D293" s="21">
        <v>45041</v>
      </c>
      <c r="E293" t="s">
        <v>45</v>
      </c>
      <c r="F293" t="s">
        <v>15</v>
      </c>
      <c r="G293" t="s">
        <v>23</v>
      </c>
      <c r="H293" t="s">
        <v>17</v>
      </c>
      <c r="I293" t="s">
        <v>30</v>
      </c>
      <c r="J293" t="s">
        <v>31</v>
      </c>
      <c r="K293" t="s">
        <v>46</v>
      </c>
      <c r="L293">
        <v>4</v>
      </c>
      <c r="M293">
        <v>2310.83</v>
      </c>
      <c r="N293">
        <v>10</v>
      </c>
      <c r="U293" s="21"/>
      <c r="V293" s="21"/>
    </row>
    <row r="294" spans="1:22">
      <c r="A294">
        <v>10070</v>
      </c>
      <c r="B294">
        <v>1241</v>
      </c>
      <c r="C294" s="21">
        <v>45112</v>
      </c>
      <c r="D294" s="21">
        <v>45113</v>
      </c>
      <c r="E294" t="s">
        <v>45</v>
      </c>
      <c r="F294" t="s">
        <v>40</v>
      </c>
      <c r="G294" t="s">
        <v>16</v>
      </c>
      <c r="H294" t="s">
        <v>34</v>
      </c>
      <c r="I294" t="s">
        <v>30</v>
      </c>
      <c r="J294" t="s">
        <v>38</v>
      </c>
      <c r="K294" t="s">
        <v>32</v>
      </c>
      <c r="L294">
        <v>4</v>
      </c>
      <c r="M294">
        <v>3612.15</v>
      </c>
      <c r="N294">
        <v>20</v>
      </c>
      <c r="U294" s="21"/>
      <c r="V294" s="21"/>
    </row>
    <row r="295" spans="1:22">
      <c r="A295">
        <v>10193</v>
      </c>
      <c r="B295">
        <v>1460</v>
      </c>
      <c r="C295" s="21">
        <v>45276</v>
      </c>
      <c r="D295" s="21">
        <v>45284</v>
      </c>
      <c r="E295" t="s">
        <v>45</v>
      </c>
      <c r="F295" t="s">
        <v>37</v>
      </c>
      <c r="G295" t="s">
        <v>29</v>
      </c>
      <c r="H295" t="s">
        <v>24</v>
      </c>
      <c r="I295" t="s">
        <v>48</v>
      </c>
      <c r="J295" t="s">
        <v>50</v>
      </c>
      <c r="K295" t="s">
        <v>32</v>
      </c>
      <c r="L295">
        <v>4</v>
      </c>
      <c r="M295">
        <v>496.18</v>
      </c>
      <c r="N295">
        <v>15</v>
      </c>
      <c r="U295" s="21"/>
      <c r="V295" s="21"/>
    </row>
    <row r="296" spans="1:22">
      <c r="A296">
        <v>10311</v>
      </c>
      <c r="B296">
        <v>1293</v>
      </c>
      <c r="C296" s="21">
        <v>45038</v>
      </c>
      <c r="D296" s="21">
        <v>45043</v>
      </c>
      <c r="E296" t="s">
        <v>45</v>
      </c>
      <c r="F296" t="s">
        <v>22</v>
      </c>
      <c r="G296" t="s">
        <v>23</v>
      </c>
      <c r="H296" t="s">
        <v>17</v>
      </c>
      <c r="I296" t="s">
        <v>18</v>
      </c>
      <c r="J296" t="s">
        <v>42</v>
      </c>
      <c r="K296" t="s">
        <v>32</v>
      </c>
      <c r="L296">
        <v>4</v>
      </c>
      <c r="M296">
        <v>2046.51</v>
      </c>
      <c r="N296">
        <v>5</v>
      </c>
      <c r="U296" s="21"/>
      <c r="V296" s="21"/>
    </row>
    <row r="297" spans="1:22">
      <c r="A297">
        <v>10405</v>
      </c>
      <c r="B297">
        <v>1913</v>
      </c>
      <c r="C297" s="21">
        <v>45084</v>
      </c>
      <c r="D297" s="21">
        <v>45091</v>
      </c>
      <c r="E297" t="s">
        <v>45</v>
      </c>
      <c r="F297" t="s">
        <v>22</v>
      </c>
      <c r="G297" t="s">
        <v>23</v>
      </c>
      <c r="H297" t="s">
        <v>24</v>
      </c>
      <c r="I297" t="s">
        <v>18</v>
      </c>
      <c r="J297" t="s">
        <v>68</v>
      </c>
      <c r="K297" t="s">
        <v>44</v>
      </c>
      <c r="L297">
        <v>4</v>
      </c>
      <c r="M297">
        <v>1333.99</v>
      </c>
      <c r="N297">
        <v>5</v>
      </c>
      <c r="U297" s="21"/>
      <c r="V297" s="21"/>
    </row>
    <row r="298" spans="1:22">
      <c r="A298">
        <v>10053</v>
      </c>
      <c r="B298">
        <v>1875</v>
      </c>
      <c r="C298" s="21">
        <v>45115</v>
      </c>
      <c r="D298" s="21">
        <v>45118</v>
      </c>
      <c r="E298" t="s">
        <v>45</v>
      </c>
      <c r="F298" t="s">
        <v>15</v>
      </c>
      <c r="G298" t="s">
        <v>16</v>
      </c>
      <c r="H298" t="s">
        <v>34</v>
      </c>
      <c r="I298" t="s">
        <v>51</v>
      </c>
      <c r="J298" t="s">
        <v>63</v>
      </c>
      <c r="K298" t="s">
        <v>20</v>
      </c>
      <c r="L298">
        <v>5</v>
      </c>
      <c r="M298">
        <v>2534.0700000000002</v>
      </c>
      <c r="N298">
        <v>10</v>
      </c>
      <c r="U298" s="21"/>
      <c r="V298" s="21"/>
    </row>
    <row r="299" spans="1:22">
      <c r="A299">
        <v>10105</v>
      </c>
      <c r="B299">
        <v>1995</v>
      </c>
      <c r="C299" s="21">
        <v>45027</v>
      </c>
      <c r="D299" s="21">
        <v>45029</v>
      </c>
      <c r="E299" t="s">
        <v>45</v>
      </c>
      <c r="F299" t="s">
        <v>40</v>
      </c>
      <c r="G299" t="s">
        <v>23</v>
      </c>
      <c r="H299" t="s">
        <v>34</v>
      </c>
      <c r="I299" t="s">
        <v>25</v>
      </c>
      <c r="J299" t="s">
        <v>26</v>
      </c>
      <c r="K299" t="s">
        <v>20</v>
      </c>
      <c r="L299">
        <v>5</v>
      </c>
      <c r="M299">
        <v>181.03</v>
      </c>
      <c r="N299">
        <v>10</v>
      </c>
      <c r="U299" s="21"/>
      <c r="V299" s="21"/>
    </row>
    <row r="300" spans="1:22">
      <c r="A300">
        <v>10107</v>
      </c>
      <c r="B300">
        <v>1862</v>
      </c>
      <c r="C300" s="21">
        <v>45058</v>
      </c>
      <c r="D300" s="21">
        <v>45064</v>
      </c>
      <c r="E300" t="s">
        <v>45</v>
      </c>
      <c r="F300" t="s">
        <v>37</v>
      </c>
      <c r="G300" t="s">
        <v>16</v>
      </c>
      <c r="H300" t="s">
        <v>43</v>
      </c>
      <c r="I300" t="s">
        <v>51</v>
      </c>
      <c r="J300" t="s">
        <v>59</v>
      </c>
      <c r="K300" t="s">
        <v>44</v>
      </c>
      <c r="L300">
        <v>5</v>
      </c>
      <c r="M300">
        <v>1063.01</v>
      </c>
      <c r="N300">
        <v>15</v>
      </c>
      <c r="U300" s="21"/>
      <c r="V300" s="21"/>
    </row>
    <row r="301" spans="1:22">
      <c r="A301">
        <v>10281</v>
      </c>
      <c r="B301">
        <v>1951</v>
      </c>
      <c r="C301" s="21">
        <v>45231</v>
      </c>
      <c r="D301" s="21">
        <v>45240</v>
      </c>
      <c r="E301" t="s">
        <v>45</v>
      </c>
      <c r="F301" t="s">
        <v>53</v>
      </c>
      <c r="G301" t="s">
        <v>29</v>
      </c>
      <c r="H301" t="s">
        <v>43</v>
      </c>
      <c r="I301" t="s">
        <v>25</v>
      </c>
      <c r="J301" t="s">
        <v>67</v>
      </c>
      <c r="K301" t="s">
        <v>20</v>
      </c>
      <c r="L301">
        <v>5</v>
      </c>
      <c r="M301">
        <v>3098.44</v>
      </c>
      <c r="N301">
        <v>0</v>
      </c>
      <c r="U301" s="21"/>
      <c r="V301" s="21"/>
    </row>
    <row r="302" spans="1:22">
      <c r="A302">
        <v>10438</v>
      </c>
      <c r="B302">
        <v>1749</v>
      </c>
      <c r="C302" s="21">
        <v>45082</v>
      </c>
      <c r="D302" s="21">
        <v>45091</v>
      </c>
      <c r="E302" t="s">
        <v>45</v>
      </c>
      <c r="F302" t="s">
        <v>22</v>
      </c>
      <c r="G302" t="s">
        <v>29</v>
      </c>
      <c r="H302" t="s">
        <v>17</v>
      </c>
      <c r="I302" t="s">
        <v>25</v>
      </c>
      <c r="J302" t="s">
        <v>60</v>
      </c>
      <c r="K302" t="s">
        <v>46</v>
      </c>
      <c r="L302">
        <v>5</v>
      </c>
      <c r="M302">
        <v>3116.22</v>
      </c>
      <c r="N302">
        <v>10</v>
      </c>
      <c r="U302" s="21"/>
      <c r="V302" s="21"/>
    </row>
    <row r="303" spans="1:22">
      <c r="A303">
        <v>10457</v>
      </c>
      <c r="B303">
        <v>1828</v>
      </c>
      <c r="C303" s="21">
        <v>45276</v>
      </c>
      <c r="D303" s="21">
        <v>45280</v>
      </c>
      <c r="E303" t="s">
        <v>45</v>
      </c>
      <c r="F303" t="s">
        <v>28</v>
      </c>
      <c r="G303" t="s">
        <v>23</v>
      </c>
      <c r="H303" t="s">
        <v>43</v>
      </c>
      <c r="I303" t="s">
        <v>25</v>
      </c>
      <c r="J303" t="s">
        <v>26</v>
      </c>
      <c r="K303" t="s">
        <v>27</v>
      </c>
      <c r="L303">
        <v>5</v>
      </c>
      <c r="M303">
        <v>1480.66</v>
      </c>
      <c r="N303">
        <v>0</v>
      </c>
      <c r="U303" s="21"/>
      <c r="V303" s="21"/>
    </row>
    <row r="304" spans="1:22">
      <c r="A304">
        <v>10012</v>
      </c>
      <c r="B304">
        <v>1214</v>
      </c>
      <c r="C304" s="21">
        <v>45214</v>
      </c>
      <c r="D304" s="21">
        <v>45220</v>
      </c>
      <c r="E304" t="s">
        <v>45</v>
      </c>
      <c r="F304" t="s">
        <v>22</v>
      </c>
      <c r="G304" t="s">
        <v>23</v>
      </c>
      <c r="H304" t="s">
        <v>43</v>
      </c>
      <c r="I304" t="s">
        <v>48</v>
      </c>
      <c r="J304" t="s">
        <v>50</v>
      </c>
      <c r="K304" t="s">
        <v>20</v>
      </c>
      <c r="L304">
        <v>6</v>
      </c>
      <c r="M304">
        <v>272.35000000000002</v>
      </c>
      <c r="N304">
        <v>5</v>
      </c>
      <c r="U304" s="21"/>
      <c r="V304" s="21"/>
    </row>
    <row r="305" spans="1:22">
      <c r="A305">
        <v>10049</v>
      </c>
      <c r="B305">
        <v>1957</v>
      </c>
      <c r="C305" s="21">
        <v>45014</v>
      </c>
      <c r="D305" s="21">
        <v>45023</v>
      </c>
      <c r="E305" t="s">
        <v>45</v>
      </c>
      <c r="F305" t="s">
        <v>28</v>
      </c>
      <c r="G305" t="s">
        <v>16</v>
      </c>
      <c r="H305" t="s">
        <v>17</v>
      </c>
      <c r="I305" t="s">
        <v>25</v>
      </c>
      <c r="J305" t="s">
        <v>26</v>
      </c>
      <c r="K305" t="s">
        <v>20</v>
      </c>
      <c r="L305">
        <v>6</v>
      </c>
      <c r="M305">
        <v>3757.87</v>
      </c>
      <c r="N305">
        <v>15</v>
      </c>
      <c r="U305" s="21"/>
      <c r="V305" s="21"/>
    </row>
    <row r="306" spans="1:22">
      <c r="A306">
        <v>10081</v>
      </c>
      <c r="B306">
        <v>1508</v>
      </c>
      <c r="C306" s="21">
        <v>45280</v>
      </c>
      <c r="D306" s="21">
        <v>45283</v>
      </c>
      <c r="E306" t="s">
        <v>45</v>
      </c>
      <c r="F306" t="s">
        <v>15</v>
      </c>
      <c r="G306" t="s">
        <v>29</v>
      </c>
      <c r="H306" t="s">
        <v>17</v>
      </c>
      <c r="I306" t="s">
        <v>25</v>
      </c>
      <c r="J306" t="s">
        <v>26</v>
      </c>
      <c r="K306" t="s">
        <v>46</v>
      </c>
      <c r="L306">
        <v>6</v>
      </c>
      <c r="M306">
        <v>3642.91</v>
      </c>
      <c r="N306">
        <v>0</v>
      </c>
      <c r="U306" s="21"/>
      <c r="V306" s="21"/>
    </row>
    <row r="307" spans="1:22">
      <c r="A307">
        <v>10082</v>
      </c>
      <c r="B307">
        <v>1775</v>
      </c>
      <c r="C307" s="21">
        <v>44936</v>
      </c>
      <c r="D307" s="21">
        <v>44942</v>
      </c>
      <c r="E307" t="s">
        <v>45</v>
      </c>
      <c r="F307" t="s">
        <v>37</v>
      </c>
      <c r="G307" t="s">
        <v>23</v>
      </c>
      <c r="H307" t="s">
        <v>41</v>
      </c>
      <c r="I307" t="s">
        <v>48</v>
      </c>
      <c r="J307" t="s">
        <v>62</v>
      </c>
      <c r="K307" t="s">
        <v>46</v>
      </c>
      <c r="L307">
        <v>6</v>
      </c>
      <c r="M307">
        <v>751.69</v>
      </c>
      <c r="N307">
        <v>0</v>
      </c>
      <c r="U307" s="21"/>
      <c r="V307" s="21"/>
    </row>
    <row r="308" spans="1:22">
      <c r="A308">
        <v>10110</v>
      </c>
      <c r="B308">
        <v>1455</v>
      </c>
      <c r="C308" s="21">
        <v>44946</v>
      </c>
      <c r="D308" s="21">
        <v>44947</v>
      </c>
      <c r="E308" t="s">
        <v>45</v>
      </c>
      <c r="F308" t="s">
        <v>15</v>
      </c>
      <c r="G308" t="s">
        <v>23</v>
      </c>
      <c r="H308" t="s">
        <v>34</v>
      </c>
      <c r="I308" t="s">
        <v>51</v>
      </c>
      <c r="J308" t="s">
        <v>55</v>
      </c>
      <c r="K308" t="s">
        <v>46</v>
      </c>
      <c r="L308">
        <v>6</v>
      </c>
      <c r="M308">
        <v>2076.84</v>
      </c>
      <c r="N308">
        <v>20</v>
      </c>
      <c r="U308" s="21"/>
      <c r="V308" s="21"/>
    </row>
    <row r="309" spans="1:22">
      <c r="A309">
        <v>10128</v>
      </c>
      <c r="B309">
        <v>1492</v>
      </c>
      <c r="C309" s="21">
        <v>45147</v>
      </c>
      <c r="D309" s="21">
        <v>45148</v>
      </c>
      <c r="E309" t="s">
        <v>45</v>
      </c>
      <c r="F309" t="s">
        <v>37</v>
      </c>
      <c r="G309" t="s">
        <v>29</v>
      </c>
      <c r="H309" t="s">
        <v>34</v>
      </c>
      <c r="I309" t="s">
        <v>25</v>
      </c>
      <c r="J309" t="s">
        <v>60</v>
      </c>
      <c r="K309" t="s">
        <v>46</v>
      </c>
      <c r="L309">
        <v>6</v>
      </c>
      <c r="M309">
        <v>659.76</v>
      </c>
      <c r="N309">
        <v>0</v>
      </c>
      <c r="U309" s="21"/>
      <c r="V309" s="21"/>
    </row>
    <row r="310" spans="1:22">
      <c r="A310">
        <v>10136</v>
      </c>
      <c r="B310">
        <v>1520</v>
      </c>
      <c r="C310" s="21">
        <v>45180</v>
      </c>
      <c r="D310" s="21">
        <v>45181</v>
      </c>
      <c r="E310" t="s">
        <v>45</v>
      </c>
      <c r="F310" t="s">
        <v>22</v>
      </c>
      <c r="G310" t="s">
        <v>16</v>
      </c>
      <c r="H310" t="s">
        <v>24</v>
      </c>
      <c r="I310" t="s">
        <v>30</v>
      </c>
      <c r="J310" t="s">
        <v>38</v>
      </c>
      <c r="K310" t="s">
        <v>32</v>
      </c>
      <c r="L310">
        <v>6</v>
      </c>
      <c r="M310">
        <v>1809.29</v>
      </c>
      <c r="N310">
        <v>0</v>
      </c>
      <c r="U310" s="21"/>
      <c r="V310" s="21"/>
    </row>
    <row r="311" spans="1:22">
      <c r="A311">
        <v>10223</v>
      </c>
      <c r="B311">
        <v>1645</v>
      </c>
      <c r="C311" s="21">
        <v>45108</v>
      </c>
      <c r="D311" s="21">
        <v>45117</v>
      </c>
      <c r="E311" t="s">
        <v>45</v>
      </c>
      <c r="F311" t="s">
        <v>53</v>
      </c>
      <c r="G311" t="s">
        <v>16</v>
      </c>
      <c r="H311" t="s">
        <v>24</v>
      </c>
      <c r="I311" t="s">
        <v>56</v>
      </c>
      <c r="J311" t="s">
        <v>58</v>
      </c>
      <c r="K311" t="s">
        <v>46</v>
      </c>
      <c r="L311">
        <v>6</v>
      </c>
      <c r="M311">
        <v>1477.55</v>
      </c>
      <c r="N311">
        <v>10</v>
      </c>
      <c r="U311" s="21"/>
      <c r="V311" s="21"/>
    </row>
    <row r="312" spans="1:22">
      <c r="A312">
        <v>10273</v>
      </c>
      <c r="B312">
        <v>1267</v>
      </c>
      <c r="C312" s="21">
        <v>45091</v>
      </c>
      <c r="D312" s="21">
        <v>45100</v>
      </c>
      <c r="E312" t="s">
        <v>45</v>
      </c>
      <c r="F312" t="s">
        <v>53</v>
      </c>
      <c r="G312" t="s">
        <v>29</v>
      </c>
      <c r="H312" t="s">
        <v>17</v>
      </c>
      <c r="I312" t="s">
        <v>30</v>
      </c>
      <c r="J312" t="s">
        <v>38</v>
      </c>
      <c r="K312" t="s">
        <v>44</v>
      </c>
      <c r="L312">
        <v>6</v>
      </c>
      <c r="M312">
        <v>384.88</v>
      </c>
      <c r="N312">
        <v>5</v>
      </c>
      <c r="U312" s="21"/>
      <c r="V312" s="21"/>
    </row>
    <row r="313" spans="1:22">
      <c r="A313">
        <v>10396</v>
      </c>
      <c r="B313">
        <v>1851</v>
      </c>
      <c r="C313" s="21">
        <v>44958</v>
      </c>
      <c r="D313" s="21">
        <v>44966</v>
      </c>
      <c r="E313" t="s">
        <v>45</v>
      </c>
      <c r="F313" t="s">
        <v>15</v>
      </c>
      <c r="G313" t="s">
        <v>29</v>
      </c>
      <c r="H313" t="s">
        <v>43</v>
      </c>
      <c r="I313" t="s">
        <v>48</v>
      </c>
      <c r="J313" t="s">
        <v>50</v>
      </c>
      <c r="K313" t="s">
        <v>46</v>
      </c>
      <c r="L313">
        <v>6</v>
      </c>
      <c r="M313">
        <v>2354.67</v>
      </c>
      <c r="N313">
        <v>15</v>
      </c>
      <c r="U313" s="21"/>
      <c r="V313" s="21"/>
    </row>
    <row r="314" spans="1:22">
      <c r="A314">
        <v>10431</v>
      </c>
      <c r="B314">
        <v>1687</v>
      </c>
      <c r="C314" s="21">
        <v>45139</v>
      </c>
      <c r="D314" s="21">
        <v>45146</v>
      </c>
      <c r="E314" t="s">
        <v>45</v>
      </c>
      <c r="F314" t="s">
        <v>37</v>
      </c>
      <c r="G314" t="s">
        <v>29</v>
      </c>
      <c r="H314" t="s">
        <v>34</v>
      </c>
      <c r="I314" t="s">
        <v>48</v>
      </c>
      <c r="J314" t="s">
        <v>50</v>
      </c>
      <c r="K314" t="s">
        <v>27</v>
      </c>
      <c r="L314">
        <v>6</v>
      </c>
      <c r="M314">
        <v>2247.37</v>
      </c>
      <c r="N314">
        <v>15</v>
      </c>
      <c r="U314" s="21"/>
      <c r="V314" s="21"/>
    </row>
    <row r="315" spans="1:22">
      <c r="A315">
        <v>10103</v>
      </c>
      <c r="B315">
        <v>1201</v>
      </c>
      <c r="C315" s="21">
        <v>45238</v>
      </c>
      <c r="D315" s="21">
        <v>45244</v>
      </c>
      <c r="E315" t="s">
        <v>45</v>
      </c>
      <c r="F315" t="s">
        <v>22</v>
      </c>
      <c r="G315" t="s">
        <v>16</v>
      </c>
      <c r="H315" t="s">
        <v>41</v>
      </c>
      <c r="I315" t="s">
        <v>18</v>
      </c>
      <c r="J315" t="s">
        <v>19</v>
      </c>
      <c r="K315" t="s">
        <v>46</v>
      </c>
      <c r="L315">
        <v>7</v>
      </c>
      <c r="M315">
        <v>3590.34</v>
      </c>
      <c r="N315">
        <v>20</v>
      </c>
      <c r="U315" s="21"/>
      <c r="V315" s="21"/>
    </row>
    <row r="316" spans="1:22">
      <c r="A316">
        <v>10343</v>
      </c>
      <c r="B316">
        <v>1488</v>
      </c>
      <c r="C316" s="21">
        <v>45196</v>
      </c>
      <c r="D316" s="21">
        <v>45204</v>
      </c>
      <c r="E316" t="s">
        <v>45</v>
      </c>
      <c r="F316" t="s">
        <v>22</v>
      </c>
      <c r="G316" t="s">
        <v>16</v>
      </c>
      <c r="H316" t="s">
        <v>17</v>
      </c>
      <c r="I316" t="s">
        <v>48</v>
      </c>
      <c r="J316" t="s">
        <v>50</v>
      </c>
      <c r="K316" t="s">
        <v>20</v>
      </c>
      <c r="L316">
        <v>7</v>
      </c>
      <c r="M316">
        <v>313.51</v>
      </c>
      <c r="N316">
        <v>0</v>
      </c>
      <c r="U316" s="21"/>
      <c r="V316" s="21"/>
    </row>
    <row r="317" spans="1:22">
      <c r="A317">
        <v>10060</v>
      </c>
      <c r="B317">
        <v>1818</v>
      </c>
      <c r="C317" s="21">
        <v>44949</v>
      </c>
      <c r="D317" s="21">
        <v>44952</v>
      </c>
      <c r="E317" t="s">
        <v>45</v>
      </c>
      <c r="F317" t="s">
        <v>40</v>
      </c>
      <c r="G317" t="s">
        <v>29</v>
      </c>
      <c r="H317" t="s">
        <v>41</v>
      </c>
      <c r="I317" t="s">
        <v>56</v>
      </c>
      <c r="J317" t="s">
        <v>61</v>
      </c>
      <c r="K317" t="s">
        <v>44</v>
      </c>
      <c r="L317">
        <v>8</v>
      </c>
      <c r="M317">
        <v>3128.25</v>
      </c>
      <c r="N317">
        <v>15</v>
      </c>
      <c r="U317" s="21"/>
      <c r="V317" s="21"/>
    </row>
    <row r="318" spans="1:22">
      <c r="A318">
        <v>10161</v>
      </c>
      <c r="B318">
        <v>1047</v>
      </c>
      <c r="C318" s="21">
        <v>45109</v>
      </c>
      <c r="D318" s="21">
        <v>45111</v>
      </c>
      <c r="E318" t="s">
        <v>45</v>
      </c>
      <c r="F318" t="s">
        <v>40</v>
      </c>
      <c r="G318" t="s">
        <v>16</v>
      </c>
      <c r="H318" t="s">
        <v>34</v>
      </c>
      <c r="I318" t="s">
        <v>18</v>
      </c>
      <c r="J318" t="s">
        <v>19</v>
      </c>
      <c r="K318" t="s">
        <v>32</v>
      </c>
      <c r="L318">
        <v>8</v>
      </c>
      <c r="M318">
        <v>1168.3900000000001</v>
      </c>
      <c r="N318">
        <v>10</v>
      </c>
      <c r="U318" s="21"/>
      <c r="V318" s="21"/>
    </row>
    <row r="319" spans="1:22">
      <c r="A319">
        <v>10208</v>
      </c>
      <c r="B319">
        <v>1170</v>
      </c>
      <c r="C319" s="21">
        <v>45118</v>
      </c>
      <c r="D319" s="21">
        <v>45123</v>
      </c>
      <c r="E319" t="s">
        <v>45</v>
      </c>
      <c r="F319" t="s">
        <v>40</v>
      </c>
      <c r="G319" t="s">
        <v>23</v>
      </c>
      <c r="H319" t="s">
        <v>41</v>
      </c>
      <c r="I319" t="s">
        <v>51</v>
      </c>
      <c r="J319" t="s">
        <v>52</v>
      </c>
      <c r="K319" t="s">
        <v>27</v>
      </c>
      <c r="L319">
        <v>8</v>
      </c>
      <c r="M319">
        <v>953.07</v>
      </c>
      <c r="N319">
        <v>20</v>
      </c>
      <c r="U319" s="21"/>
      <c r="V319" s="21"/>
    </row>
    <row r="320" spans="1:22">
      <c r="A320">
        <v>10280</v>
      </c>
      <c r="B320">
        <v>1624</v>
      </c>
      <c r="C320" s="21">
        <v>45144</v>
      </c>
      <c r="D320" s="21">
        <v>45149</v>
      </c>
      <c r="E320" t="s">
        <v>45</v>
      </c>
      <c r="F320" t="s">
        <v>40</v>
      </c>
      <c r="G320" t="s">
        <v>23</v>
      </c>
      <c r="H320" t="s">
        <v>17</v>
      </c>
      <c r="I320" t="s">
        <v>48</v>
      </c>
      <c r="J320" t="s">
        <v>66</v>
      </c>
      <c r="K320" t="s">
        <v>32</v>
      </c>
      <c r="L320">
        <v>8</v>
      </c>
      <c r="M320">
        <v>3784.12</v>
      </c>
      <c r="N320">
        <v>15</v>
      </c>
      <c r="U320" s="21"/>
      <c r="V320" s="21"/>
    </row>
    <row r="321" spans="1:22">
      <c r="A321">
        <v>10316</v>
      </c>
      <c r="B321">
        <v>1197</v>
      </c>
      <c r="C321" s="21">
        <v>45070</v>
      </c>
      <c r="D321" s="21">
        <v>45071</v>
      </c>
      <c r="E321" t="s">
        <v>45</v>
      </c>
      <c r="F321" t="s">
        <v>37</v>
      </c>
      <c r="G321" t="s">
        <v>29</v>
      </c>
      <c r="H321" t="s">
        <v>17</v>
      </c>
      <c r="I321" t="s">
        <v>56</v>
      </c>
      <c r="J321" t="s">
        <v>57</v>
      </c>
      <c r="K321" t="s">
        <v>32</v>
      </c>
      <c r="L321">
        <v>8</v>
      </c>
      <c r="M321">
        <v>2429.2600000000002</v>
      </c>
      <c r="N321">
        <v>15</v>
      </c>
      <c r="U321" s="21"/>
      <c r="V321" s="21"/>
    </row>
    <row r="322" spans="1:22">
      <c r="A322">
        <v>10367</v>
      </c>
      <c r="B322">
        <v>1880</v>
      </c>
      <c r="C322" s="21">
        <v>45090</v>
      </c>
      <c r="D322" s="21">
        <v>45095</v>
      </c>
      <c r="E322" t="s">
        <v>45</v>
      </c>
      <c r="F322" t="s">
        <v>40</v>
      </c>
      <c r="G322" t="s">
        <v>29</v>
      </c>
      <c r="H322" t="s">
        <v>34</v>
      </c>
      <c r="I322" t="s">
        <v>56</v>
      </c>
      <c r="J322" t="s">
        <v>61</v>
      </c>
      <c r="K322" t="s">
        <v>44</v>
      </c>
      <c r="L322">
        <v>8</v>
      </c>
      <c r="M322">
        <v>3610.33</v>
      </c>
      <c r="N322">
        <v>5</v>
      </c>
      <c r="U322" s="21"/>
      <c r="V322" s="21"/>
    </row>
    <row r="323" spans="1:22">
      <c r="A323">
        <v>10387</v>
      </c>
      <c r="B323">
        <v>1672</v>
      </c>
      <c r="C323" s="21">
        <v>45055</v>
      </c>
      <c r="D323" s="21">
        <v>45062</v>
      </c>
      <c r="E323" t="s">
        <v>45</v>
      </c>
      <c r="F323" t="s">
        <v>28</v>
      </c>
      <c r="G323" t="s">
        <v>23</v>
      </c>
      <c r="H323" t="s">
        <v>41</v>
      </c>
      <c r="I323" t="s">
        <v>30</v>
      </c>
      <c r="J323" t="s">
        <v>31</v>
      </c>
      <c r="K323" t="s">
        <v>32</v>
      </c>
      <c r="L323">
        <v>8</v>
      </c>
      <c r="M323">
        <v>1375.47</v>
      </c>
      <c r="N323">
        <v>15</v>
      </c>
      <c r="U323" s="21"/>
      <c r="V323" s="21"/>
    </row>
    <row r="324" spans="1:22">
      <c r="A324">
        <v>10434</v>
      </c>
      <c r="B324">
        <v>1882</v>
      </c>
      <c r="C324" s="21">
        <v>45057</v>
      </c>
      <c r="D324" s="21">
        <v>45062</v>
      </c>
      <c r="E324" t="s">
        <v>45</v>
      </c>
      <c r="F324" t="s">
        <v>53</v>
      </c>
      <c r="G324" t="s">
        <v>23</v>
      </c>
      <c r="H324" t="s">
        <v>24</v>
      </c>
      <c r="I324" t="s">
        <v>18</v>
      </c>
      <c r="J324" t="s">
        <v>19</v>
      </c>
      <c r="K324" t="s">
        <v>44</v>
      </c>
      <c r="L324">
        <v>8</v>
      </c>
      <c r="M324">
        <v>437.36</v>
      </c>
      <c r="N324">
        <v>20</v>
      </c>
      <c r="U324" s="21"/>
      <c r="V324" s="21"/>
    </row>
    <row r="325" spans="1:22">
      <c r="A325">
        <v>10172</v>
      </c>
      <c r="B325">
        <v>1546</v>
      </c>
      <c r="C325" s="21">
        <v>45087</v>
      </c>
      <c r="D325" s="21">
        <v>45088</v>
      </c>
      <c r="E325" t="s">
        <v>45</v>
      </c>
      <c r="F325" t="s">
        <v>53</v>
      </c>
      <c r="G325" t="s">
        <v>16</v>
      </c>
      <c r="H325" t="s">
        <v>41</v>
      </c>
      <c r="I325" t="s">
        <v>48</v>
      </c>
      <c r="J325" t="s">
        <v>62</v>
      </c>
      <c r="K325" t="s">
        <v>46</v>
      </c>
      <c r="L325">
        <v>9</v>
      </c>
      <c r="M325">
        <v>3159.22</v>
      </c>
      <c r="N325">
        <v>20</v>
      </c>
      <c r="U325" s="21"/>
      <c r="V325" s="21"/>
    </row>
    <row r="326" spans="1:22">
      <c r="A326">
        <v>10324</v>
      </c>
      <c r="B326">
        <v>1123</v>
      </c>
      <c r="C326" s="21">
        <v>45064</v>
      </c>
      <c r="D326" s="21">
        <v>45070</v>
      </c>
      <c r="E326" t="s">
        <v>45</v>
      </c>
      <c r="F326" t="s">
        <v>40</v>
      </c>
      <c r="G326" t="s">
        <v>23</v>
      </c>
      <c r="H326" t="s">
        <v>43</v>
      </c>
      <c r="I326" t="s">
        <v>56</v>
      </c>
      <c r="J326" t="s">
        <v>57</v>
      </c>
      <c r="K326" t="s">
        <v>32</v>
      </c>
      <c r="L326">
        <v>9</v>
      </c>
      <c r="M326">
        <v>3472.58</v>
      </c>
      <c r="N326">
        <v>15</v>
      </c>
      <c r="U326" s="21"/>
      <c r="V326" s="21"/>
    </row>
    <row r="327" spans="1:22">
      <c r="A327">
        <v>10498</v>
      </c>
      <c r="B327">
        <v>1734</v>
      </c>
      <c r="C327" s="21">
        <v>45017</v>
      </c>
      <c r="D327" s="21">
        <v>45025</v>
      </c>
      <c r="E327" t="s">
        <v>45</v>
      </c>
      <c r="F327" t="s">
        <v>15</v>
      </c>
      <c r="G327" t="s">
        <v>29</v>
      </c>
      <c r="H327" t="s">
        <v>17</v>
      </c>
      <c r="I327" t="s">
        <v>25</v>
      </c>
      <c r="J327" t="s">
        <v>35</v>
      </c>
      <c r="K327" t="s">
        <v>27</v>
      </c>
      <c r="L327">
        <v>9</v>
      </c>
      <c r="M327">
        <v>2190.39</v>
      </c>
      <c r="N327">
        <v>20</v>
      </c>
      <c r="U327" s="21"/>
      <c r="V327" s="21"/>
    </row>
    <row r="328" spans="1:22">
      <c r="A328">
        <v>10024</v>
      </c>
      <c r="B328">
        <v>1343</v>
      </c>
      <c r="C328" s="21">
        <v>45075</v>
      </c>
      <c r="D328" s="21">
        <v>45082</v>
      </c>
      <c r="E328" t="s">
        <v>21</v>
      </c>
      <c r="F328" t="s">
        <v>40</v>
      </c>
      <c r="G328" t="s">
        <v>16</v>
      </c>
      <c r="H328" t="s">
        <v>43</v>
      </c>
      <c r="I328" t="s">
        <v>48</v>
      </c>
      <c r="J328" t="s">
        <v>50</v>
      </c>
      <c r="K328" t="s">
        <v>44</v>
      </c>
      <c r="L328">
        <v>1</v>
      </c>
      <c r="M328">
        <v>3606.31</v>
      </c>
      <c r="N328">
        <v>0</v>
      </c>
      <c r="U328" s="21"/>
      <c r="V328" s="21"/>
    </row>
    <row r="329" spans="1:22">
      <c r="A329">
        <v>10138</v>
      </c>
      <c r="B329">
        <v>1128</v>
      </c>
      <c r="C329" s="21">
        <v>45088</v>
      </c>
      <c r="D329" s="21">
        <v>45093</v>
      </c>
      <c r="E329" t="s">
        <v>21</v>
      </c>
      <c r="F329" t="s">
        <v>28</v>
      </c>
      <c r="G329" t="s">
        <v>16</v>
      </c>
      <c r="H329" t="s">
        <v>34</v>
      </c>
      <c r="I329" t="s">
        <v>51</v>
      </c>
      <c r="J329" t="s">
        <v>52</v>
      </c>
      <c r="K329" t="s">
        <v>20</v>
      </c>
      <c r="L329">
        <v>1</v>
      </c>
      <c r="M329">
        <v>912.67</v>
      </c>
      <c r="N329">
        <v>0</v>
      </c>
      <c r="U329" s="21"/>
      <c r="V329" s="21"/>
    </row>
    <row r="330" spans="1:22">
      <c r="A330">
        <v>10232</v>
      </c>
      <c r="B330">
        <v>1639</v>
      </c>
      <c r="C330" s="21">
        <v>44962</v>
      </c>
      <c r="D330" s="21">
        <v>44969</v>
      </c>
      <c r="E330" t="s">
        <v>21</v>
      </c>
      <c r="F330" t="s">
        <v>28</v>
      </c>
      <c r="G330" t="s">
        <v>16</v>
      </c>
      <c r="H330" t="s">
        <v>17</v>
      </c>
      <c r="I330" t="s">
        <v>56</v>
      </c>
      <c r="J330" t="s">
        <v>58</v>
      </c>
      <c r="K330" t="s">
        <v>20</v>
      </c>
      <c r="L330">
        <v>1</v>
      </c>
      <c r="M330">
        <v>2250.4899999999998</v>
      </c>
      <c r="N330">
        <v>15</v>
      </c>
      <c r="U330" s="21"/>
      <c r="V330" s="21"/>
    </row>
    <row r="331" spans="1:22">
      <c r="A331">
        <v>10417</v>
      </c>
      <c r="B331">
        <v>1579</v>
      </c>
      <c r="C331" s="21">
        <v>45057</v>
      </c>
      <c r="D331" s="21">
        <v>45065</v>
      </c>
      <c r="E331" t="s">
        <v>21</v>
      </c>
      <c r="F331" t="s">
        <v>53</v>
      </c>
      <c r="G331" t="s">
        <v>16</v>
      </c>
      <c r="H331" t="s">
        <v>43</v>
      </c>
      <c r="I331" t="s">
        <v>51</v>
      </c>
      <c r="J331" t="s">
        <v>63</v>
      </c>
      <c r="K331" t="s">
        <v>44</v>
      </c>
      <c r="L331">
        <v>1</v>
      </c>
      <c r="M331">
        <v>3354.81</v>
      </c>
      <c r="N331">
        <v>0</v>
      </c>
      <c r="U331" s="21"/>
      <c r="V331" s="21"/>
    </row>
    <row r="332" spans="1:22">
      <c r="A332">
        <v>10460</v>
      </c>
      <c r="B332">
        <v>1515</v>
      </c>
      <c r="C332" s="21">
        <v>45215</v>
      </c>
      <c r="D332" s="21">
        <v>45221</v>
      </c>
      <c r="E332" t="s">
        <v>21</v>
      </c>
      <c r="F332" t="s">
        <v>28</v>
      </c>
      <c r="G332" t="s">
        <v>23</v>
      </c>
      <c r="H332" t="s">
        <v>24</v>
      </c>
      <c r="I332" t="s">
        <v>48</v>
      </c>
      <c r="J332" t="s">
        <v>49</v>
      </c>
      <c r="K332" t="s">
        <v>20</v>
      </c>
      <c r="L332">
        <v>1</v>
      </c>
      <c r="M332">
        <v>445.38</v>
      </c>
      <c r="N332">
        <v>10</v>
      </c>
      <c r="U332" s="21"/>
      <c r="V332" s="21"/>
    </row>
    <row r="333" spans="1:22">
      <c r="A333">
        <v>10115</v>
      </c>
      <c r="B333">
        <v>1295</v>
      </c>
      <c r="C333" s="21">
        <v>45156</v>
      </c>
      <c r="D333" s="21">
        <v>45159</v>
      </c>
      <c r="E333" t="s">
        <v>21</v>
      </c>
      <c r="F333" t="s">
        <v>53</v>
      </c>
      <c r="G333" t="s">
        <v>23</v>
      </c>
      <c r="H333" t="s">
        <v>41</v>
      </c>
      <c r="I333" t="s">
        <v>56</v>
      </c>
      <c r="J333" t="s">
        <v>61</v>
      </c>
      <c r="K333" t="s">
        <v>27</v>
      </c>
      <c r="L333">
        <v>2</v>
      </c>
      <c r="M333">
        <v>3621.09</v>
      </c>
      <c r="N333">
        <v>0</v>
      </c>
      <c r="U333" s="21"/>
      <c r="V333" s="21"/>
    </row>
    <row r="334" spans="1:22">
      <c r="A334">
        <v>10118</v>
      </c>
      <c r="B334">
        <v>1748</v>
      </c>
      <c r="C334" s="21">
        <v>45128</v>
      </c>
      <c r="D334" s="21">
        <v>45129</v>
      </c>
      <c r="E334" t="s">
        <v>21</v>
      </c>
      <c r="F334" t="s">
        <v>15</v>
      </c>
      <c r="G334" t="s">
        <v>16</v>
      </c>
      <c r="H334" t="s">
        <v>43</v>
      </c>
      <c r="I334" t="s">
        <v>30</v>
      </c>
      <c r="J334" t="s">
        <v>47</v>
      </c>
      <c r="K334" t="s">
        <v>32</v>
      </c>
      <c r="L334">
        <v>2</v>
      </c>
      <c r="M334">
        <v>2303.71</v>
      </c>
      <c r="N334">
        <v>20</v>
      </c>
      <c r="U334" s="21"/>
      <c r="V334" s="21"/>
    </row>
    <row r="335" spans="1:22">
      <c r="A335">
        <v>10150</v>
      </c>
      <c r="B335">
        <v>1772</v>
      </c>
      <c r="C335" s="21">
        <v>44956</v>
      </c>
      <c r="D335" s="21">
        <v>44961</v>
      </c>
      <c r="E335" t="s">
        <v>21</v>
      </c>
      <c r="F335" t="s">
        <v>53</v>
      </c>
      <c r="G335" t="s">
        <v>23</v>
      </c>
      <c r="H335" t="s">
        <v>17</v>
      </c>
      <c r="I335" t="s">
        <v>48</v>
      </c>
      <c r="J335" t="s">
        <v>50</v>
      </c>
      <c r="K335" t="s">
        <v>27</v>
      </c>
      <c r="L335">
        <v>2</v>
      </c>
      <c r="M335">
        <v>2808.06</v>
      </c>
      <c r="N335">
        <v>0</v>
      </c>
      <c r="U335" s="21"/>
      <c r="V335" s="21"/>
    </row>
    <row r="336" spans="1:22">
      <c r="A336">
        <v>10254</v>
      </c>
      <c r="B336">
        <v>1676</v>
      </c>
      <c r="C336" s="21">
        <v>45010</v>
      </c>
      <c r="D336" s="21">
        <v>45012</v>
      </c>
      <c r="E336" t="s">
        <v>21</v>
      </c>
      <c r="F336" t="s">
        <v>15</v>
      </c>
      <c r="G336" t="s">
        <v>16</v>
      </c>
      <c r="H336" t="s">
        <v>41</v>
      </c>
      <c r="I336" t="s">
        <v>51</v>
      </c>
      <c r="J336" t="s">
        <v>63</v>
      </c>
      <c r="K336" t="s">
        <v>44</v>
      </c>
      <c r="L336">
        <v>2</v>
      </c>
      <c r="M336">
        <v>2711.66</v>
      </c>
      <c r="N336">
        <v>0</v>
      </c>
      <c r="U336" s="21"/>
      <c r="V336" s="21"/>
    </row>
    <row r="337" spans="1:22">
      <c r="A337">
        <v>10328</v>
      </c>
      <c r="B337">
        <v>1348</v>
      </c>
      <c r="C337" s="21">
        <v>45245</v>
      </c>
      <c r="D337" s="21">
        <v>45250</v>
      </c>
      <c r="E337" t="s">
        <v>21</v>
      </c>
      <c r="F337" t="s">
        <v>53</v>
      </c>
      <c r="G337" t="s">
        <v>23</v>
      </c>
      <c r="H337" t="s">
        <v>24</v>
      </c>
      <c r="I337" t="s">
        <v>51</v>
      </c>
      <c r="J337" t="s">
        <v>52</v>
      </c>
      <c r="K337" t="s">
        <v>44</v>
      </c>
      <c r="L337">
        <v>2</v>
      </c>
      <c r="M337">
        <v>2948.33</v>
      </c>
      <c r="N337">
        <v>15</v>
      </c>
      <c r="U337" s="21"/>
      <c r="V337" s="21"/>
    </row>
    <row r="338" spans="1:22">
      <c r="A338">
        <v>10052</v>
      </c>
      <c r="B338">
        <v>1562</v>
      </c>
      <c r="C338" s="21">
        <v>45097</v>
      </c>
      <c r="D338" s="21">
        <v>45098</v>
      </c>
      <c r="E338" t="s">
        <v>21</v>
      </c>
      <c r="F338" t="s">
        <v>53</v>
      </c>
      <c r="G338" t="s">
        <v>23</v>
      </c>
      <c r="H338" t="s">
        <v>34</v>
      </c>
      <c r="I338" t="s">
        <v>56</v>
      </c>
      <c r="J338" t="s">
        <v>61</v>
      </c>
      <c r="K338" t="s">
        <v>32</v>
      </c>
      <c r="L338">
        <v>3</v>
      </c>
      <c r="M338">
        <v>2668.52</v>
      </c>
      <c r="N338">
        <v>5</v>
      </c>
      <c r="U338" s="21"/>
      <c r="V338" s="21"/>
    </row>
    <row r="339" spans="1:22">
      <c r="A339">
        <v>10077</v>
      </c>
      <c r="B339">
        <v>1366</v>
      </c>
      <c r="C339" s="21">
        <v>45030</v>
      </c>
      <c r="D339" s="21">
        <v>45034</v>
      </c>
      <c r="E339" t="s">
        <v>21</v>
      </c>
      <c r="F339" t="s">
        <v>53</v>
      </c>
      <c r="G339" t="s">
        <v>29</v>
      </c>
      <c r="H339" t="s">
        <v>24</v>
      </c>
      <c r="I339" t="s">
        <v>30</v>
      </c>
      <c r="J339" t="s">
        <v>31</v>
      </c>
      <c r="K339" t="s">
        <v>44</v>
      </c>
      <c r="L339">
        <v>3</v>
      </c>
      <c r="M339">
        <v>985.28</v>
      </c>
      <c r="N339">
        <v>10</v>
      </c>
      <c r="U339" s="21"/>
      <c r="V339" s="21"/>
    </row>
    <row r="340" spans="1:22">
      <c r="A340">
        <v>10260</v>
      </c>
      <c r="B340">
        <v>1974</v>
      </c>
      <c r="C340" s="21">
        <v>45104</v>
      </c>
      <c r="D340" s="21">
        <v>45110</v>
      </c>
      <c r="E340" t="s">
        <v>21</v>
      </c>
      <c r="F340" t="s">
        <v>40</v>
      </c>
      <c r="G340" t="s">
        <v>16</v>
      </c>
      <c r="H340" t="s">
        <v>41</v>
      </c>
      <c r="I340" t="s">
        <v>30</v>
      </c>
      <c r="J340" t="s">
        <v>64</v>
      </c>
      <c r="K340" t="s">
        <v>27</v>
      </c>
      <c r="L340">
        <v>3</v>
      </c>
      <c r="M340">
        <v>647.32000000000005</v>
      </c>
      <c r="N340">
        <v>5</v>
      </c>
      <c r="U340" s="21"/>
      <c r="V340" s="21"/>
    </row>
    <row r="341" spans="1:22">
      <c r="A341">
        <v>10294</v>
      </c>
      <c r="B341">
        <v>1402</v>
      </c>
      <c r="C341" s="21">
        <v>44987</v>
      </c>
      <c r="D341" s="21">
        <v>44994</v>
      </c>
      <c r="E341" t="s">
        <v>21</v>
      </c>
      <c r="F341" t="s">
        <v>15</v>
      </c>
      <c r="G341" t="s">
        <v>23</v>
      </c>
      <c r="H341" t="s">
        <v>34</v>
      </c>
      <c r="I341" t="s">
        <v>18</v>
      </c>
      <c r="J341" t="s">
        <v>42</v>
      </c>
      <c r="K341" t="s">
        <v>44</v>
      </c>
      <c r="L341">
        <v>3</v>
      </c>
      <c r="M341">
        <v>967.49</v>
      </c>
      <c r="N341">
        <v>0</v>
      </c>
      <c r="U341" s="21"/>
      <c r="V341" s="21"/>
    </row>
    <row r="342" spans="1:22">
      <c r="A342">
        <v>10338</v>
      </c>
      <c r="B342">
        <v>1146</v>
      </c>
      <c r="C342" s="21">
        <v>45139</v>
      </c>
      <c r="D342" s="21">
        <v>45145</v>
      </c>
      <c r="E342" t="s">
        <v>21</v>
      </c>
      <c r="F342" t="s">
        <v>28</v>
      </c>
      <c r="G342" t="s">
        <v>29</v>
      </c>
      <c r="H342" t="s">
        <v>41</v>
      </c>
      <c r="I342" t="s">
        <v>48</v>
      </c>
      <c r="J342" t="s">
        <v>49</v>
      </c>
      <c r="K342" t="s">
        <v>20</v>
      </c>
      <c r="L342">
        <v>3</v>
      </c>
      <c r="M342">
        <v>464.42</v>
      </c>
      <c r="N342">
        <v>20</v>
      </c>
      <c r="U342" s="21"/>
      <c r="V342" s="21"/>
    </row>
    <row r="343" spans="1:22">
      <c r="A343">
        <v>10388</v>
      </c>
      <c r="B343">
        <v>1919</v>
      </c>
      <c r="C343" s="21">
        <v>44934</v>
      </c>
      <c r="D343" s="21">
        <v>44941</v>
      </c>
      <c r="E343" t="s">
        <v>21</v>
      </c>
      <c r="F343" t="s">
        <v>53</v>
      </c>
      <c r="G343" t="s">
        <v>29</v>
      </c>
      <c r="H343" t="s">
        <v>17</v>
      </c>
      <c r="I343" t="s">
        <v>30</v>
      </c>
      <c r="J343" t="s">
        <v>38</v>
      </c>
      <c r="K343" t="s">
        <v>32</v>
      </c>
      <c r="L343">
        <v>3</v>
      </c>
      <c r="M343">
        <v>2032.79</v>
      </c>
      <c r="N343">
        <v>10</v>
      </c>
      <c r="U343" s="21"/>
      <c r="V343" s="21"/>
    </row>
    <row r="344" spans="1:22">
      <c r="A344">
        <v>10392</v>
      </c>
      <c r="B344">
        <v>1967</v>
      </c>
      <c r="C344" s="21">
        <v>45027</v>
      </c>
      <c r="D344" s="21">
        <v>45036</v>
      </c>
      <c r="E344" t="s">
        <v>21</v>
      </c>
      <c r="F344" t="s">
        <v>37</v>
      </c>
      <c r="G344" t="s">
        <v>23</v>
      </c>
      <c r="H344" t="s">
        <v>24</v>
      </c>
      <c r="I344" t="s">
        <v>51</v>
      </c>
      <c r="J344" t="s">
        <v>59</v>
      </c>
      <c r="K344" t="s">
        <v>32</v>
      </c>
      <c r="L344">
        <v>3</v>
      </c>
      <c r="M344">
        <v>1553.98</v>
      </c>
      <c r="N344">
        <v>15</v>
      </c>
      <c r="U344" s="21"/>
      <c r="V344" s="21"/>
    </row>
    <row r="345" spans="1:22">
      <c r="A345">
        <v>10094</v>
      </c>
      <c r="B345">
        <v>1105</v>
      </c>
      <c r="C345" s="21">
        <v>44938</v>
      </c>
      <c r="D345" s="21">
        <v>44946</v>
      </c>
      <c r="E345" t="s">
        <v>21</v>
      </c>
      <c r="F345" t="s">
        <v>15</v>
      </c>
      <c r="G345" t="s">
        <v>29</v>
      </c>
      <c r="H345" t="s">
        <v>24</v>
      </c>
      <c r="I345" t="s">
        <v>51</v>
      </c>
      <c r="J345" t="s">
        <v>59</v>
      </c>
      <c r="K345" t="s">
        <v>20</v>
      </c>
      <c r="L345">
        <v>4</v>
      </c>
      <c r="M345">
        <v>1611.52</v>
      </c>
      <c r="N345">
        <v>10</v>
      </c>
      <c r="U345" s="21"/>
      <c r="V345" s="21"/>
    </row>
    <row r="346" spans="1:22">
      <c r="A346">
        <v>10160</v>
      </c>
      <c r="B346">
        <v>1032</v>
      </c>
      <c r="C346" s="21">
        <v>45039</v>
      </c>
      <c r="D346" s="21">
        <v>45041</v>
      </c>
      <c r="E346" t="s">
        <v>21</v>
      </c>
      <c r="F346" t="s">
        <v>37</v>
      </c>
      <c r="G346" t="s">
        <v>16</v>
      </c>
      <c r="H346" t="s">
        <v>43</v>
      </c>
      <c r="I346" t="s">
        <v>30</v>
      </c>
      <c r="J346" t="s">
        <v>47</v>
      </c>
      <c r="K346" t="s">
        <v>46</v>
      </c>
      <c r="L346">
        <v>4</v>
      </c>
      <c r="M346">
        <v>1322.72</v>
      </c>
      <c r="N346">
        <v>5</v>
      </c>
      <c r="U346" s="21"/>
      <c r="V346" s="21"/>
    </row>
    <row r="347" spans="1:22">
      <c r="A347">
        <v>10344</v>
      </c>
      <c r="B347">
        <v>1928</v>
      </c>
      <c r="C347" s="21">
        <v>45094</v>
      </c>
      <c r="D347" s="21">
        <v>45101</v>
      </c>
      <c r="E347" t="s">
        <v>21</v>
      </c>
      <c r="F347" t="s">
        <v>28</v>
      </c>
      <c r="G347" t="s">
        <v>29</v>
      </c>
      <c r="H347" t="s">
        <v>43</v>
      </c>
      <c r="I347" t="s">
        <v>51</v>
      </c>
      <c r="J347" t="s">
        <v>55</v>
      </c>
      <c r="K347" t="s">
        <v>32</v>
      </c>
      <c r="L347">
        <v>4</v>
      </c>
      <c r="M347">
        <v>2785.81</v>
      </c>
      <c r="N347">
        <v>20</v>
      </c>
      <c r="U347" s="21"/>
      <c r="V347" s="21"/>
    </row>
    <row r="348" spans="1:22">
      <c r="A348">
        <v>10048</v>
      </c>
      <c r="B348">
        <v>1189</v>
      </c>
      <c r="C348" s="21">
        <v>45021</v>
      </c>
      <c r="D348" s="21">
        <v>45027</v>
      </c>
      <c r="E348" t="s">
        <v>21</v>
      </c>
      <c r="F348" t="s">
        <v>37</v>
      </c>
      <c r="G348" t="s">
        <v>23</v>
      </c>
      <c r="H348" t="s">
        <v>43</v>
      </c>
      <c r="I348" t="s">
        <v>30</v>
      </c>
      <c r="J348" t="s">
        <v>64</v>
      </c>
      <c r="K348" t="s">
        <v>27</v>
      </c>
      <c r="L348">
        <v>5</v>
      </c>
      <c r="M348">
        <v>2466.48</v>
      </c>
      <c r="N348">
        <v>5</v>
      </c>
      <c r="U348" s="21"/>
      <c r="V348" s="21"/>
    </row>
    <row r="349" spans="1:22">
      <c r="A349">
        <v>10076</v>
      </c>
      <c r="B349">
        <v>1091</v>
      </c>
      <c r="C349" s="21">
        <v>44929</v>
      </c>
      <c r="D349" s="21">
        <v>44932</v>
      </c>
      <c r="E349" t="s">
        <v>21</v>
      </c>
      <c r="F349" t="s">
        <v>15</v>
      </c>
      <c r="G349" t="s">
        <v>29</v>
      </c>
      <c r="H349" t="s">
        <v>34</v>
      </c>
      <c r="I349" t="s">
        <v>30</v>
      </c>
      <c r="J349" t="s">
        <v>38</v>
      </c>
      <c r="K349" t="s">
        <v>32</v>
      </c>
      <c r="L349">
        <v>5</v>
      </c>
      <c r="M349">
        <v>1220.68</v>
      </c>
      <c r="N349">
        <v>20</v>
      </c>
      <c r="U349" s="21"/>
      <c r="V349" s="21"/>
    </row>
    <row r="350" spans="1:22">
      <c r="A350">
        <v>10184</v>
      </c>
      <c r="B350">
        <v>1397</v>
      </c>
      <c r="C350" s="21">
        <v>45063</v>
      </c>
      <c r="D350" s="21">
        <v>45072</v>
      </c>
      <c r="E350" t="s">
        <v>21</v>
      </c>
      <c r="F350" t="s">
        <v>53</v>
      </c>
      <c r="G350" t="s">
        <v>16</v>
      </c>
      <c r="H350" t="s">
        <v>43</v>
      </c>
      <c r="I350" t="s">
        <v>51</v>
      </c>
      <c r="J350" t="s">
        <v>63</v>
      </c>
      <c r="K350" t="s">
        <v>20</v>
      </c>
      <c r="L350">
        <v>5</v>
      </c>
      <c r="M350">
        <v>2125.75</v>
      </c>
      <c r="N350">
        <v>15</v>
      </c>
      <c r="U350" s="21"/>
      <c r="V350" s="21"/>
    </row>
    <row r="351" spans="1:22">
      <c r="A351">
        <v>10384</v>
      </c>
      <c r="B351">
        <v>1151</v>
      </c>
      <c r="C351" s="21">
        <v>45289</v>
      </c>
      <c r="D351" s="21">
        <v>45297</v>
      </c>
      <c r="E351" t="s">
        <v>21</v>
      </c>
      <c r="F351" t="s">
        <v>15</v>
      </c>
      <c r="G351" t="s">
        <v>23</v>
      </c>
      <c r="H351" t="s">
        <v>41</v>
      </c>
      <c r="I351" t="s">
        <v>18</v>
      </c>
      <c r="J351" t="s">
        <v>54</v>
      </c>
      <c r="K351" t="s">
        <v>27</v>
      </c>
      <c r="L351">
        <v>5</v>
      </c>
      <c r="M351">
        <v>1935.68</v>
      </c>
      <c r="N351">
        <v>20</v>
      </c>
      <c r="U351" s="21"/>
      <c r="V351" s="21"/>
    </row>
    <row r="352" spans="1:22">
      <c r="A352">
        <v>10398</v>
      </c>
      <c r="B352">
        <v>1226</v>
      </c>
      <c r="C352" s="21">
        <v>44938</v>
      </c>
      <c r="D352" s="21">
        <v>44943</v>
      </c>
      <c r="E352" t="s">
        <v>21</v>
      </c>
      <c r="F352" t="s">
        <v>28</v>
      </c>
      <c r="G352" t="s">
        <v>16</v>
      </c>
      <c r="H352" t="s">
        <v>43</v>
      </c>
      <c r="I352" t="s">
        <v>48</v>
      </c>
      <c r="J352" t="s">
        <v>62</v>
      </c>
      <c r="K352" t="s">
        <v>32</v>
      </c>
      <c r="L352">
        <v>5</v>
      </c>
      <c r="M352">
        <v>3245.77</v>
      </c>
      <c r="N352">
        <v>0</v>
      </c>
      <c r="U352" s="21"/>
      <c r="V352" s="21"/>
    </row>
    <row r="353" spans="1:22">
      <c r="A353">
        <v>10463</v>
      </c>
      <c r="B353">
        <v>1048</v>
      </c>
      <c r="C353" s="21">
        <v>44992</v>
      </c>
      <c r="D353" s="21">
        <v>45000</v>
      </c>
      <c r="E353" t="s">
        <v>21</v>
      </c>
      <c r="F353" t="s">
        <v>15</v>
      </c>
      <c r="G353" t="s">
        <v>23</v>
      </c>
      <c r="H353" t="s">
        <v>34</v>
      </c>
      <c r="I353" t="s">
        <v>25</v>
      </c>
      <c r="J353" t="s">
        <v>35</v>
      </c>
      <c r="K353" t="s">
        <v>46</v>
      </c>
      <c r="L353">
        <v>5</v>
      </c>
      <c r="M353">
        <v>2072.3200000000002</v>
      </c>
      <c r="N353">
        <v>15</v>
      </c>
      <c r="U353" s="21"/>
      <c r="V353" s="21"/>
    </row>
    <row r="354" spans="1:22">
      <c r="A354">
        <v>10147</v>
      </c>
      <c r="B354">
        <v>1418</v>
      </c>
      <c r="C354" s="21">
        <v>45078</v>
      </c>
      <c r="D354" s="21">
        <v>45081</v>
      </c>
      <c r="E354" t="s">
        <v>21</v>
      </c>
      <c r="F354" t="s">
        <v>53</v>
      </c>
      <c r="G354" t="s">
        <v>23</v>
      </c>
      <c r="H354" t="s">
        <v>24</v>
      </c>
      <c r="I354" t="s">
        <v>30</v>
      </c>
      <c r="J354" t="s">
        <v>47</v>
      </c>
      <c r="K354" t="s">
        <v>20</v>
      </c>
      <c r="L354">
        <v>6</v>
      </c>
      <c r="M354">
        <v>1852.67</v>
      </c>
      <c r="N354">
        <v>5</v>
      </c>
      <c r="U354" s="21"/>
      <c r="V354" s="21"/>
    </row>
    <row r="355" spans="1:22">
      <c r="A355">
        <v>10270</v>
      </c>
      <c r="B355">
        <v>1496</v>
      </c>
      <c r="C355" s="21">
        <v>45080</v>
      </c>
      <c r="D355" s="21">
        <v>45086</v>
      </c>
      <c r="E355" t="s">
        <v>21</v>
      </c>
      <c r="F355" t="s">
        <v>28</v>
      </c>
      <c r="G355" t="s">
        <v>23</v>
      </c>
      <c r="H355" t="s">
        <v>34</v>
      </c>
      <c r="I355" t="s">
        <v>30</v>
      </c>
      <c r="J355" t="s">
        <v>64</v>
      </c>
      <c r="K355" t="s">
        <v>44</v>
      </c>
      <c r="L355">
        <v>6</v>
      </c>
      <c r="M355">
        <v>3197.13</v>
      </c>
      <c r="N355">
        <v>10</v>
      </c>
      <c r="U355" s="21"/>
      <c r="V355" s="21"/>
    </row>
    <row r="356" spans="1:22">
      <c r="A356">
        <v>10287</v>
      </c>
      <c r="B356">
        <v>1219</v>
      </c>
      <c r="C356" s="21">
        <v>45122</v>
      </c>
      <c r="D356" s="21">
        <v>45125</v>
      </c>
      <c r="E356" t="s">
        <v>21</v>
      </c>
      <c r="F356" t="s">
        <v>37</v>
      </c>
      <c r="G356" t="s">
        <v>23</v>
      </c>
      <c r="H356" t="s">
        <v>17</v>
      </c>
      <c r="I356" t="s">
        <v>56</v>
      </c>
      <c r="J356" t="s">
        <v>65</v>
      </c>
      <c r="K356" t="s">
        <v>20</v>
      </c>
      <c r="L356">
        <v>6</v>
      </c>
      <c r="M356">
        <v>1936.66</v>
      </c>
      <c r="N356">
        <v>0</v>
      </c>
      <c r="U356" s="21"/>
      <c r="V356" s="21"/>
    </row>
    <row r="357" spans="1:22">
      <c r="A357">
        <v>10327</v>
      </c>
      <c r="B357">
        <v>1463</v>
      </c>
      <c r="C357" s="21">
        <v>45169</v>
      </c>
      <c r="D357" s="21">
        <v>45176</v>
      </c>
      <c r="E357" t="s">
        <v>21</v>
      </c>
      <c r="F357" t="s">
        <v>22</v>
      </c>
      <c r="G357" t="s">
        <v>16</v>
      </c>
      <c r="H357" t="s">
        <v>41</v>
      </c>
      <c r="I357" t="s">
        <v>51</v>
      </c>
      <c r="J357" t="s">
        <v>59</v>
      </c>
      <c r="K357" t="s">
        <v>46</v>
      </c>
      <c r="L357">
        <v>6</v>
      </c>
      <c r="M357">
        <v>3967.1</v>
      </c>
      <c r="N357">
        <v>0</v>
      </c>
      <c r="U357" s="21"/>
      <c r="V357" s="21"/>
    </row>
    <row r="358" spans="1:22">
      <c r="A358">
        <v>10370</v>
      </c>
      <c r="B358">
        <v>1303</v>
      </c>
      <c r="C358" s="21">
        <v>44981</v>
      </c>
      <c r="D358" s="21">
        <v>44987</v>
      </c>
      <c r="E358" t="s">
        <v>21</v>
      </c>
      <c r="F358" t="s">
        <v>40</v>
      </c>
      <c r="G358" t="s">
        <v>29</v>
      </c>
      <c r="H358" t="s">
        <v>17</v>
      </c>
      <c r="I358" t="s">
        <v>48</v>
      </c>
      <c r="J358" t="s">
        <v>62</v>
      </c>
      <c r="K358" t="s">
        <v>27</v>
      </c>
      <c r="L358">
        <v>6</v>
      </c>
      <c r="M358">
        <v>1628.56</v>
      </c>
      <c r="N358">
        <v>0</v>
      </c>
      <c r="U358" s="21"/>
      <c r="V358" s="21"/>
    </row>
    <row r="359" spans="1:22">
      <c r="A359">
        <v>10373</v>
      </c>
      <c r="B359">
        <v>1452</v>
      </c>
      <c r="C359" s="21">
        <v>45030</v>
      </c>
      <c r="D359" s="21">
        <v>45036</v>
      </c>
      <c r="E359" t="s">
        <v>21</v>
      </c>
      <c r="F359" t="s">
        <v>15</v>
      </c>
      <c r="G359" t="s">
        <v>23</v>
      </c>
      <c r="H359" t="s">
        <v>17</v>
      </c>
      <c r="I359" t="s">
        <v>51</v>
      </c>
      <c r="J359" t="s">
        <v>52</v>
      </c>
      <c r="K359" t="s">
        <v>20</v>
      </c>
      <c r="L359">
        <v>6</v>
      </c>
      <c r="M359">
        <v>1019.05</v>
      </c>
      <c r="N359">
        <v>0</v>
      </c>
      <c r="U359" s="21"/>
      <c r="V359" s="21"/>
    </row>
    <row r="360" spans="1:22">
      <c r="A360">
        <v>10394</v>
      </c>
      <c r="B360">
        <v>1421</v>
      </c>
      <c r="C360" s="21">
        <v>45172</v>
      </c>
      <c r="D360" s="21">
        <v>45173</v>
      </c>
      <c r="E360" t="s">
        <v>21</v>
      </c>
      <c r="F360" t="s">
        <v>28</v>
      </c>
      <c r="G360" t="s">
        <v>16</v>
      </c>
      <c r="H360" t="s">
        <v>17</v>
      </c>
      <c r="I360" t="s">
        <v>48</v>
      </c>
      <c r="J360" t="s">
        <v>49</v>
      </c>
      <c r="K360" t="s">
        <v>46</v>
      </c>
      <c r="L360">
        <v>6</v>
      </c>
      <c r="M360">
        <v>2716.48</v>
      </c>
      <c r="N360">
        <v>0</v>
      </c>
      <c r="U360" s="21"/>
      <c r="V360" s="21"/>
    </row>
    <row r="361" spans="1:22">
      <c r="A361">
        <v>10033</v>
      </c>
      <c r="B361">
        <v>1459</v>
      </c>
      <c r="C361" s="21">
        <v>45129</v>
      </c>
      <c r="D361" s="21">
        <v>45130</v>
      </c>
      <c r="E361" t="s">
        <v>21</v>
      </c>
      <c r="F361" t="s">
        <v>37</v>
      </c>
      <c r="G361" t="s">
        <v>16</v>
      </c>
      <c r="H361" t="s">
        <v>43</v>
      </c>
      <c r="I361" t="s">
        <v>56</v>
      </c>
      <c r="J361" t="s">
        <v>58</v>
      </c>
      <c r="K361" t="s">
        <v>44</v>
      </c>
      <c r="L361">
        <v>7</v>
      </c>
      <c r="M361">
        <v>3363.18</v>
      </c>
      <c r="N361">
        <v>20</v>
      </c>
      <c r="U361" s="21"/>
      <c r="V361" s="21"/>
    </row>
    <row r="362" spans="1:22">
      <c r="A362">
        <v>10038</v>
      </c>
      <c r="B362">
        <v>1856</v>
      </c>
      <c r="C362" s="21">
        <v>45271</v>
      </c>
      <c r="D362" s="21">
        <v>45280</v>
      </c>
      <c r="E362" t="s">
        <v>21</v>
      </c>
      <c r="F362" t="s">
        <v>28</v>
      </c>
      <c r="G362" t="s">
        <v>23</v>
      </c>
      <c r="H362" t="s">
        <v>41</v>
      </c>
      <c r="I362" t="s">
        <v>48</v>
      </c>
      <c r="J362" t="s">
        <v>62</v>
      </c>
      <c r="K362" t="s">
        <v>46</v>
      </c>
      <c r="L362">
        <v>7</v>
      </c>
      <c r="M362">
        <v>687.46</v>
      </c>
      <c r="N362">
        <v>20</v>
      </c>
      <c r="U362" s="21"/>
      <c r="V362" s="21"/>
    </row>
    <row r="363" spans="1:22">
      <c r="A363">
        <v>10123</v>
      </c>
      <c r="B363">
        <v>1921</v>
      </c>
      <c r="C363" s="21">
        <v>44946</v>
      </c>
      <c r="D363" s="21">
        <v>44950</v>
      </c>
      <c r="E363" t="s">
        <v>21</v>
      </c>
      <c r="F363" t="s">
        <v>15</v>
      </c>
      <c r="G363" t="s">
        <v>23</v>
      </c>
      <c r="H363" t="s">
        <v>43</v>
      </c>
      <c r="I363" t="s">
        <v>25</v>
      </c>
      <c r="J363" t="s">
        <v>67</v>
      </c>
      <c r="K363" t="s">
        <v>46</v>
      </c>
      <c r="L363">
        <v>7</v>
      </c>
      <c r="M363">
        <v>1050.5</v>
      </c>
      <c r="N363">
        <v>20</v>
      </c>
      <c r="U363" s="21"/>
      <c r="V363" s="21"/>
    </row>
    <row r="364" spans="1:22">
      <c r="A364">
        <v>10211</v>
      </c>
      <c r="B364">
        <v>1524</v>
      </c>
      <c r="C364" s="21">
        <v>44996</v>
      </c>
      <c r="D364" s="21">
        <v>45000</v>
      </c>
      <c r="E364" t="s">
        <v>21</v>
      </c>
      <c r="F364" t="s">
        <v>22</v>
      </c>
      <c r="G364" t="s">
        <v>23</v>
      </c>
      <c r="H364" t="s">
        <v>41</v>
      </c>
      <c r="I364" t="s">
        <v>48</v>
      </c>
      <c r="J364" t="s">
        <v>50</v>
      </c>
      <c r="K364" t="s">
        <v>20</v>
      </c>
      <c r="L364">
        <v>7</v>
      </c>
      <c r="M364">
        <v>2257.5500000000002</v>
      </c>
      <c r="N364">
        <v>10</v>
      </c>
      <c r="U364" s="21"/>
      <c r="V364" s="21"/>
    </row>
    <row r="365" spans="1:22">
      <c r="A365">
        <v>10248</v>
      </c>
      <c r="B365">
        <v>1358</v>
      </c>
      <c r="C365" s="21">
        <v>44970</v>
      </c>
      <c r="D365" s="21">
        <v>44974</v>
      </c>
      <c r="E365" t="s">
        <v>21</v>
      </c>
      <c r="F365" t="s">
        <v>15</v>
      </c>
      <c r="G365" t="s">
        <v>29</v>
      </c>
      <c r="H365" t="s">
        <v>41</v>
      </c>
      <c r="I365" t="s">
        <v>30</v>
      </c>
      <c r="J365" t="s">
        <v>38</v>
      </c>
      <c r="K365" t="s">
        <v>20</v>
      </c>
      <c r="L365">
        <v>7</v>
      </c>
      <c r="M365">
        <v>2605.92</v>
      </c>
      <c r="N365">
        <v>20</v>
      </c>
      <c r="U365" s="21"/>
      <c r="V365" s="21"/>
    </row>
    <row r="366" spans="1:22">
      <c r="A366">
        <v>10016</v>
      </c>
      <c r="B366">
        <v>1372</v>
      </c>
      <c r="C366" s="21">
        <v>44958</v>
      </c>
      <c r="D366" s="21">
        <v>44961</v>
      </c>
      <c r="E366" t="s">
        <v>21</v>
      </c>
      <c r="F366" t="s">
        <v>28</v>
      </c>
      <c r="G366" t="s">
        <v>16</v>
      </c>
      <c r="H366" t="s">
        <v>41</v>
      </c>
      <c r="I366" t="s">
        <v>30</v>
      </c>
      <c r="J366" t="s">
        <v>38</v>
      </c>
      <c r="K366" t="s">
        <v>20</v>
      </c>
      <c r="L366">
        <v>8</v>
      </c>
      <c r="M366">
        <v>595.45000000000005</v>
      </c>
      <c r="N366">
        <v>5</v>
      </c>
      <c r="U366" s="21"/>
      <c r="V366" s="21"/>
    </row>
    <row r="367" spans="1:22">
      <c r="A367">
        <v>10149</v>
      </c>
      <c r="B367">
        <v>1378</v>
      </c>
      <c r="C367" s="21">
        <v>45002</v>
      </c>
      <c r="D367" s="21">
        <v>45010</v>
      </c>
      <c r="E367" t="s">
        <v>21</v>
      </c>
      <c r="F367" t="s">
        <v>22</v>
      </c>
      <c r="G367" t="s">
        <v>29</v>
      </c>
      <c r="H367" t="s">
        <v>41</v>
      </c>
      <c r="I367" t="s">
        <v>56</v>
      </c>
      <c r="J367" t="s">
        <v>61</v>
      </c>
      <c r="K367" t="s">
        <v>32</v>
      </c>
      <c r="L367">
        <v>8</v>
      </c>
      <c r="M367">
        <v>2938.3</v>
      </c>
      <c r="N367">
        <v>15</v>
      </c>
      <c r="U367" s="21"/>
      <c r="V367" s="21"/>
    </row>
    <row r="368" spans="1:22">
      <c r="A368">
        <v>10158</v>
      </c>
      <c r="B368">
        <v>1779</v>
      </c>
      <c r="C368" s="21">
        <v>45276</v>
      </c>
      <c r="D368" s="21">
        <v>45277</v>
      </c>
      <c r="E368" t="s">
        <v>21</v>
      </c>
      <c r="F368" t="s">
        <v>40</v>
      </c>
      <c r="G368" t="s">
        <v>23</v>
      </c>
      <c r="H368" t="s">
        <v>17</v>
      </c>
      <c r="I368" t="s">
        <v>48</v>
      </c>
      <c r="J368" t="s">
        <v>62</v>
      </c>
      <c r="K368" t="s">
        <v>27</v>
      </c>
      <c r="L368">
        <v>8</v>
      </c>
      <c r="M368">
        <v>3346.08</v>
      </c>
      <c r="N368">
        <v>15</v>
      </c>
      <c r="U368" s="21"/>
      <c r="V368" s="21"/>
    </row>
    <row r="369" spans="1:22">
      <c r="A369">
        <v>10369</v>
      </c>
      <c r="B369">
        <v>1896</v>
      </c>
      <c r="C369" s="21">
        <v>44998</v>
      </c>
      <c r="D369" s="21">
        <v>45000</v>
      </c>
      <c r="E369" t="s">
        <v>21</v>
      </c>
      <c r="F369" t="s">
        <v>22</v>
      </c>
      <c r="G369" t="s">
        <v>16</v>
      </c>
      <c r="H369" t="s">
        <v>34</v>
      </c>
      <c r="I369" t="s">
        <v>25</v>
      </c>
      <c r="J369" t="s">
        <v>35</v>
      </c>
      <c r="K369" t="s">
        <v>46</v>
      </c>
      <c r="L369">
        <v>8</v>
      </c>
      <c r="M369">
        <v>3277.19</v>
      </c>
      <c r="N369">
        <v>15</v>
      </c>
      <c r="U369" s="21"/>
      <c r="V369" s="21"/>
    </row>
    <row r="370" spans="1:22">
      <c r="A370">
        <v>10002</v>
      </c>
      <c r="B370">
        <v>1435</v>
      </c>
      <c r="C370" s="21">
        <v>45199</v>
      </c>
      <c r="D370" s="21">
        <v>45203</v>
      </c>
      <c r="E370" t="s">
        <v>21</v>
      </c>
      <c r="F370" t="s">
        <v>22</v>
      </c>
      <c r="G370" t="s">
        <v>23</v>
      </c>
      <c r="H370" t="s">
        <v>24</v>
      </c>
      <c r="I370" t="s">
        <v>25</v>
      </c>
      <c r="J370" t="s">
        <v>26</v>
      </c>
      <c r="K370" t="s">
        <v>27</v>
      </c>
      <c r="L370">
        <v>9</v>
      </c>
      <c r="M370">
        <v>2525.23</v>
      </c>
      <c r="N370">
        <v>5</v>
      </c>
      <c r="U370" s="21"/>
      <c r="V370" s="21"/>
    </row>
    <row r="371" spans="1:22">
      <c r="A371">
        <v>10126</v>
      </c>
      <c r="B371">
        <v>1187</v>
      </c>
      <c r="C371" s="21">
        <v>44997</v>
      </c>
      <c r="D371" s="21">
        <v>45002</v>
      </c>
      <c r="E371" t="s">
        <v>21</v>
      </c>
      <c r="F371" t="s">
        <v>53</v>
      </c>
      <c r="G371" t="s">
        <v>23</v>
      </c>
      <c r="H371" t="s">
        <v>17</v>
      </c>
      <c r="I371" t="s">
        <v>30</v>
      </c>
      <c r="J371" t="s">
        <v>47</v>
      </c>
      <c r="K371" t="s">
        <v>27</v>
      </c>
      <c r="L371">
        <v>9</v>
      </c>
      <c r="M371">
        <v>3308.64</v>
      </c>
      <c r="N371">
        <v>5</v>
      </c>
      <c r="U371" s="21"/>
      <c r="V371" s="21"/>
    </row>
    <row r="372" spans="1:22">
      <c r="A372">
        <v>10407</v>
      </c>
      <c r="B372">
        <v>1877</v>
      </c>
      <c r="C372" s="21">
        <v>45088</v>
      </c>
      <c r="D372" s="21">
        <v>45090</v>
      </c>
      <c r="E372" t="s">
        <v>21</v>
      </c>
      <c r="F372" t="s">
        <v>22</v>
      </c>
      <c r="G372" t="s">
        <v>23</v>
      </c>
      <c r="H372" t="s">
        <v>24</v>
      </c>
      <c r="I372" t="s">
        <v>51</v>
      </c>
      <c r="J372" t="s">
        <v>52</v>
      </c>
      <c r="K372" t="s">
        <v>32</v>
      </c>
      <c r="L372">
        <v>9</v>
      </c>
      <c r="M372">
        <v>3216.56</v>
      </c>
      <c r="N372">
        <v>20</v>
      </c>
      <c r="U372" s="21"/>
      <c r="V372" s="21"/>
    </row>
    <row r="373" spans="1:22">
      <c r="A373">
        <v>10468</v>
      </c>
      <c r="B373">
        <v>1157</v>
      </c>
      <c r="C373" s="21">
        <v>45074</v>
      </c>
      <c r="D373" s="21">
        <v>45082</v>
      </c>
      <c r="E373" t="s">
        <v>21</v>
      </c>
      <c r="F373" t="s">
        <v>15</v>
      </c>
      <c r="G373" t="s">
        <v>16</v>
      </c>
      <c r="H373" t="s">
        <v>17</v>
      </c>
      <c r="I373" t="s">
        <v>56</v>
      </c>
      <c r="J373" t="s">
        <v>58</v>
      </c>
      <c r="K373" t="s">
        <v>44</v>
      </c>
      <c r="L373">
        <v>9</v>
      </c>
      <c r="M373">
        <v>1890.53</v>
      </c>
      <c r="N373">
        <v>15</v>
      </c>
      <c r="U373" s="21"/>
      <c r="V373" s="21"/>
    </row>
    <row r="374" spans="1:22">
      <c r="U374" s="21"/>
      <c r="V374" s="21"/>
    </row>
    <row r="375" spans="1:22">
      <c r="U375" s="21"/>
      <c r="V375" s="21"/>
    </row>
    <row r="376" spans="1:22">
      <c r="U376" s="21"/>
      <c r="V376" s="21"/>
    </row>
    <row r="377" spans="1:22">
      <c r="U377" s="21"/>
      <c r="V377" s="21"/>
    </row>
  </sheetData>
  <sortState xmlns:xlrd2="http://schemas.microsoft.com/office/spreadsheetml/2017/richdata2" ref="A2:N373">
    <sortCondition ref="E2:E373"/>
    <sortCondition ref="L2:L373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D94D6-3027-42AE-9453-BC29711F0DBC}">
  <dimension ref="A1:W373"/>
  <sheetViews>
    <sheetView tabSelected="1" zoomScaleNormal="100" workbookViewId="0">
      <pane ySplit="1" topLeftCell="A2" activePane="bottomLeft" state="frozen"/>
      <selection activeCell="D1" sqref="D1"/>
      <selection pane="bottomLeft" activeCell="U38" sqref="U38"/>
    </sheetView>
  </sheetViews>
  <sheetFormatPr defaultRowHeight="14.4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8" max="18" width="15.88671875" bestFit="1" customWidth="1"/>
    <col min="19" max="19" width="14.5546875" bestFit="1" customWidth="1"/>
    <col min="21" max="21" width="14.5546875" bestFit="1" customWidth="1"/>
  </cols>
  <sheetData>
    <row r="1" spans="1:2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</row>
    <row r="2" spans="1:21">
      <c r="A2" s="8">
        <v>10001</v>
      </c>
      <c r="B2" s="8">
        <v>1102</v>
      </c>
      <c r="C2" s="23">
        <v>45197</v>
      </c>
      <c r="D2" s="23">
        <v>45203</v>
      </c>
      <c r="E2" s="8" t="s">
        <v>14</v>
      </c>
      <c r="F2" s="8" t="s">
        <v>15</v>
      </c>
      <c r="G2" s="8" t="s">
        <v>16</v>
      </c>
      <c r="H2" s="8" t="s">
        <v>17</v>
      </c>
      <c r="I2" s="8" t="s">
        <v>18</v>
      </c>
      <c r="J2" s="8" t="s">
        <v>19</v>
      </c>
      <c r="K2" s="8" t="s">
        <v>20</v>
      </c>
      <c r="L2" s="8">
        <v>7</v>
      </c>
      <c r="M2" s="8">
        <v>2843.87</v>
      </c>
      <c r="N2" s="8">
        <v>0</v>
      </c>
      <c r="R2" s="12" t="s">
        <v>4</v>
      </c>
      <c r="S2" s="8" t="s">
        <v>14</v>
      </c>
      <c r="U2" t="s">
        <v>14</v>
      </c>
    </row>
    <row r="3" spans="1:21">
      <c r="A3" s="8">
        <v>10002</v>
      </c>
      <c r="B3" s="8">
        <v>1435</v>
      </c>
      <c r="C3" s="23">
        <v>45199</v>
      </c>
      <c r="D3" s="23">
        <v>45203</v>
      </c>
      <c r="E3" s="8" t="s">
        <v>21</v>
      </c>
      <c r="F3" s="8" t="s">
        <v>22</v>
      </c>
      <c r="G3" s="8" t="s">
        <v>23</v>
      </c>
      <c r="H3" s="8" t="s">
        <v>24</v>
      </c>
      <c r="I3" s="8" t="s">
        <v>25</v>
      </c>
      <c r="J3" s="8" t="s">
        <v>26</v>
      </c>
      <c r="K3" s="8" t="s">
        <v>27</v>
      </c>
      <c r="L3" s="8">
        <v>9</v>
      </c>
      <c r="M3" s="8">
        <v>2525.23</v>
      </c>
      <c r="N3" s="8">
        <v>5</v>
      </c>
      <c r="P3" s="4"/>
      <c r="Q3" s="5"/>
      <c r="U3" t="s">
        <v>21</v>
      </c>
    </row>
    <row r="4" spans="1:21">
      <c r="A4" s="8">
        <v>10003</v>
      </c>
      <c r="B4" s="8">
        <v>1860</v>
      </c>
      <c r="C4" s="23">
        <v>45109</v>
      </c>
      <c r="D4" s="23">
        <v>45114</v>
      </c>
      <c r="E4" s="8" t="s">
        <v>14</v>
      </c>
      <c r="F4" s="8" t="s">
        <v>28</v>
      </c>
      <c r="G4" s="8" t="s">
        <v>29</v>
      </c>
      <c r="H4" s="8" t="s">
        <v>24</v>
      </c>
      <c r="I4" s="8" t="s">
        <v>30</v>
      </c>
      <c r="J4" s="8" t="s">
        <v>31</v>
      </c>
      <c r="K4" s="8" t="s">
        <v>32</v>
      </c>
      <c r="L4" s="8">
        <v>6</v>
      </c>
      <c r="M4" s="8">
        <v>3474.34</v>
      </c>
      <c r="N4" s="8">
        <v>15</v>
      </c>
      <c r="U4" t="s">
        <v>33</v>
      </c>
    </row>
    <row r="5" spans="1:21">
      <c r="A5" s="8">
        <v>10004</v>
      </c>
      <c r="B5" s="8">
        <v>1270</v>
      </c>
      <c r="C5" s="23">
        <v>45079</v>
      </c>
      <c r="D5" s="23">
        <v>45087</v>
      </c>
      <c r="E5" s="8" t="s">
        <v>33</v>
      </c>
      <c r="F5" s="8" t="s">
        <v>28</v>
      </c>
      <c r="G5" s="8" t="s">
        <v>23</v>
      </c>
      <c r="H5" s="8" t="s">
        <v>34</v>
      </c>
      <c r="I5" s="8" t="s">
        <v>25</v>
      </c>
      <c r="J5" s="8" t="s">
        <v>35</v>
      </c>
      <c r="K5" s="8" t="s">
        <v>20</v>
      </c>
      <c r="L5" s="8">
        <v>1</v>
      </c>
      <c r="M5" s="8">
        <v>1008.79</v>
      </c>
      <c r="N5" s="8">
        <v>15</v>
      </c>
      <c r="U5" t="s">
        <v>36</v>
      </c>
    </row>
    <row r="6" spans="1:21">
      <c r="A6" s="8">
        <v>10005</v>
      </c>
      <c r="B6" s="8">
        <v>1106</v>
      </c>
      <c r="C6" s="23">
        <v>45241</v>
      </c>
      <c r="D6" s="23">
        <v>45244</v>
      </c>
      <c r="E6" s="8" t="s">
        <v>36</v>
      </c>
      <c r="F6" s="8" t="s">
        <v>37</v>
      </c>
      <c r="G6" s="8" t="s">
        <v>29</v>
      </c>
      <c r="H6" s="8" t="s">
        <v>17</v>
      </c>
      <c r="I6" s="8" t="s">
        <v>30</v>
      </c>
      <c r="J6" s="8" t="s">
        <v>38</v>
      </c>
      <c r="K6" s="8" t="s">
        <v>20</v>
      </c>
      <c r="L6" s="8">
        <v>7</v>
      </c>
      <c r="M6" s="8">
        <v>3511.47</v>
      </c>
      <c r="N6" s="8">
        <v>20</v>
      </c>
      <c r="U6" t="s">
        <v>39</v>
      </c>
    </row>
    <row r="7" spans="1:21">
      <c r="A7" s="8">
        <v>10006</v>
      </c>
      <c r="B7" s="8">
        <v>1071</v>
      </c>
      <c r="C7" s="23">
        <v>45260</v>
      </c>
      <c r="D7" s="23">
        <v>45263</v>
      </c>
      <c r="E7" s="8" t="s">
        <v>39</v>
      </c>
      <c r="F7" s="8" t="s">
        <v>40</v>
      </c>
      <c r="G7" s="8" t="s">
        <v>23</v>
      </c>
      <c r="H7" s="8" t="s">
        <v>41</v>
      </c>
      <c r="I7" s="8" t="s">
        <v>18</v>
      </c>
      <c r="J7" s="8" t="s">
        <v>42</v>
      </c>
      <c r="K7" s="8" t="s">
        <v>32</v>
      </c>
      <c r="L7" s="8">
        <v>3</v>
      </c>
      <c r="M7" s="8">
        <v>3189.55</v>
      </c>
      <c r="N7" s="8">
        <v>10</v>
      </c>
      <c r="U7" t="s">
        <v>45</v>
      </c>
    </row>
    <row r="8" spans="1:21">
      <c r="A8" s="8">
        <v>10007</v>
      </c>
      <c r="B8" s="8">
        <v>1700</v>
      </c>
      <c r="C8" s="23">
        <v>45050</v>
      </c>
      <c r="D8" s="23">
        <v>45054</v>
      </c>
      <c r="E8" s="8" t="s">
        <v>33</v>
      </c>
      <c r="F8" s="8" t="s">
        <v>40</v>
      </c>
      <c r="G8" s="8" t="s">
        <v>16</v>
      </c>
      <c r="H8" s="8" t="s">
        <v>43</v>
      </c>
      <c r="I8" s="8" t="s">
        <v>30</v>
      </c>
      <c r="J8" s="8" t="s">
        <v>31</v>
      </c>
      <c r="K8" s="8" t="s">
        <v>44</v>
      </c>
      <c r="L8" s="8">
        <v>5</v>
      </c>
      <c r="M8" s="8">
        <v>3030.42</v>
      </c>
      <c r="N8" s="8">
        <v>10</v>
      </c>
      <c r="U8" t="s">
        <v>15</v>
      </c>
    </row>
    <row r="9" spans="1:21">
      <c r="A9" s="8">
        <v>10008</v>
      </c>
      <c r="B9" s="8">
        <v>1020</v>
      </c>
      <c r="C9" s="23">
        <v>45040</v>
      </c>
      <c r="D9" s="23">
        <v>45041</v>
      </c>
      <c r="E9" s="8" t="s">
        <v>45</v>
      </c>
      <c r="F9" s="8" t="s">
        <v>15</v>
      </c>
      <c r="G9" s="8" t="s">
        <v>23</v>
      </c>
      <c r="H9" s="8" t="s">
        <v>17</v>
      </c>
      <c r="I9" s="8" t="s">
        <v>30</v>
      </c>
      <c r="J9" s="8" t="s">
        <v>31</v>
      </c>
      <c r="K9" s="8" t="s">
        <v>46</v>
      </c>
      <c r="L9" s="8">
        <v>4</v>
      </c>
      <c r="M9" s="8">
        <v>2310.83</v>
      </c>
      <c r="N9" s="8">
        <v>10</v>
      </c>
    </row>
    <row r="10" spans="1:21">
      <c r="A10" s="8">
        <v>10009</v>
      </c>
      <c r="B10" s="8">
        <v>1614</v>
      </c>
      <c r="C10" s="23">
        <v>45204</v>
      </c>
      <c r="D10" s="23">
        <v>45213</v>
      </c>
      <c r="E10" s="8" t="s">
        <v>14</v>
      </c>
      <c r="F10" s="8" t="s">
        <v>28</v>
      </c>
      <c r="G10" s="8" t="s">
        <v>23</v>
      </c>
      <c r="H10" s="8" t="s">
        <v>24</v>
      </c>
      <c r="I10" s="8" t="s">
        <v>30</v>
      </c>
      <c r="J10" s="8" t="s">
        <v>47</v>
      </c>
      <c r="K10" s="8" t="s">
        <v>27</v>
      </c>
      <c r="L10" s="8">
        <v>5</v>
      </c>
      <c r="M10" s="8">
        <v>1098.04</v>
      </c>
      <c r="N10" s="8">
        <v>15</v>
      </c>
    </row>
    <row r="11" spans="1:21">
      <c r="A11" s="8">
        <v>10010</v>
      </c>
      <c r="B11" s="8">
        <v>1121</v>
      </c>
      <c r="C11" s="23">
        <v>45139</v>
      </c>
      <c r="D11" s="23">
        <v>45147</v>
      </c>
      <c r="E11" s="8" t="s">
        <v>33</v>
      </c>
      <c r="F11" s="8" t="s">
        <v>37</v>
      </c>
      <c r="G11" s="8" t="s">
        <v>23</v>
      </c>
      <c r="H11" s="8" t="s">
        <v>34</v>
      </c>
      <c r="I11" s="8" t="s">
        <v>48</v>
      </c>
      <c r="J11" s="8" t="s">
        <v>49</v>
      </c>
      <c r="K11" s="8" t="s">
        <v>46</v>
      </c>
      <c r="L11" s="8">
        <v>5</v>
      </c>
      <c r="M11" s="8">
        <v>1780.66</v>
      </c>
      <c r="N11" s="8">
        <v>20</v>
      </c>
    </row>
    <row r="12" spans="1:21">
      <c r="A12" s="8">
        <v>10011</v>
      </c>
      <c r="B12" s="8">
        <v>1466</v>
      </c>
      <c r="C12" s="23">
        <v>45098</v>
      </c>
      <c r="D12" s="23">
        <v>45106</v>
      </c>
      <c r="E12" s="8" t="s">
        <v>33</v>
      </c>
      <c r="F12" s="8" t="s">
        <v>37</v>
      </c>
      <c r="G12" s="8" t="s">
        <v>16</v>
      </c>
      <c r="H12" s="8" t="s">
        <v>34</v>
      </c>
      <c r="I12" s="8" t="s">
        <v>48</v>
      </c>
      <c r="J12" s="8" t="s">
        <v>49</v>
      </c>
      <c r="K12" s="8" t="s">
        <v>32</v>
      </c>
      <c r="L12" s="8">
        <v>6</v>
      </c>
      <c r="M12" s="8">
        <v>3205.25</v>
      </c>
      <c r="N12" s="8">
        <v>0</v>
      </c>
      <c r="R12" s="12" t="s">
        <v>10</v>
      </c>
      <c r="S12" s="8" t="s">
        <v>20</v>
      </c>
      <c r="U12" t="s">
        <v>20</v>
      </c>
    </row>
    <row r="13" spans="1:21">
      <c r="A13" s="8">
        <v>10012</v>
      </c>
      <c r="B13" s="8">
        <v>1214</v>
      </c>
      <c r="C13" s="23">
        <v>45214</v>
      </c>
      <c r="D13" s="23">
        <v>45220</v>
      </c>
      <c r="E13" s="8" t="s">
        <v>45</v>
      </c>
      <c r="F13" s="8" t="s">
        <v>22</v>
      </c>
      <c r="G13" s="8" t="s">
        <v>23</v>
      </c>
      <c r="H13" s="8" t="s">
        <v>43</v>
      </c>
      <c r="I13" s="8" t="s">
        <v>48</v>
      </c>
      <c r="J13" s="8" t="s">
        <v>50</v>
      </c>
      <c r="K13" s="8" t="s">
        <v>20</v>
      </c>
      <c r="L13" s="8">
        <v>6</v>
      </c>
      <c r="M13" s="8">
        <v>272.35000000000002</v>
      </c>
      <c r="N13" s="8">
        <v>5</v>
      </c>
      <c r="U13" s="5" t="s">
        <v>46</v>
      </c>
    </row>
    <row r="14" spans="1:21">
      <c r="A14" s="8">
        <v>10013</v>
      </c>
      <c r="B14" s="8">
        <v>1330</v>
      </c>
      <c r="C14" s="23">
        <v>45100</v>
      </c>
      <c r="D14" s="23">
        <v>45107</v>
      </c>
      <c r="E14" s="8" t="s">
        <v>15</v>
      </c>
      <c r="F14" s="8" t="s">
        <v>22</v>
      </c>
      <c r="G14" s="8" t="s">
        <v>16</v>
      </c>
      <c r="H14" s="8" t="s">
        <v>34</v>
      </c>
      <c r="I14" s="8" t="s">
        <v>18</v>
      </c>
      <c r="J14" s="8" t="s">
        <v>42</v>
      </c>
      <c r="K14" s="8" t="s">
        <v>20</v>
      </c>
      <c r="L14" s="8">
        <v>8</v>
      </c>
      <c r="M14" s="8">
        <v>3160.9</v>
      </c>
      <c r="N14" s="8">
        <v>0</v>
      </c>
      <c r="U14" s="5" t="s">
        <v>44</v>
      </c>
    </row>
    <row r="15" spans="1:21">
      <c r="A15" s="8">
        <v>10014</v>
      </c>
      <c r="B15" s="8">
        <v>1458</v>
      </c>
      <c r="C15" s="23">
        <v>45039</v>
      </c>
      <c r="D15" s="23">
        <v>45045</v>
      </c>
      <c r="E15" s="8" t="s">
        <v>36</v>
      </c>
      <c r="F15" s="8" t="s">
        <v>37</v>
      </c>
      <c r="G15" s="8" t="s">
        <v>29</v>
      </c>
      <c r="H15" s="8" t="s">
        <v>34</v>
      </c>
      <c r="I15" s="8" t="s">
        <v>25</v>
      </c>
      <c r="J15" s="8" t="s">
        <v>35</v>
      </c>
      <c r="K15" s="8" t="s">
        <v>27</v>
      </c>
      <c r="L15" s="8">
        <v>8</v>
      </c>
      <c r="M15" s="8">
        <v>1074.27</v>
      </c>
      <c r="N15" s="8">
        <v>15</v>
      </c>
      <c r="U15" s="5" t="s">
        <v>27</v>
      </c>
    </row>
    <row r="16" spans="1:21">
      <c r="A16" s="8">
        <v>10015</v>
      </c>
      <c r="B16" s="8">
        <v>1087</v>
      </c>
      <c r="C16" s="23">
        <v>45048</v>
      </c>
      <c r="D16" s="23">
        <v>45057</v>
      </c>
      <c r="E16" s="8" t="s">
        <v>39</v>
      </c>
      <c r="F16" s="8" t="s">
        <v>22</v>
      </c>
      <c r="G16" s="8" t="s">
        <v>23</v>
      </c>
      <c r="H16" s="8" t="s">
        <v>17</v>
      </c>
      <c r="I16" s="8" t="s">
        <v>51</v>
      </c>
      <c r="J16" s="8" t="s">
        <v>52</v>
      </c>
      <c r="K16" s="8" t="s">
        <v>20</v>
      </c>
      <c r="L16" s="8">
        <v>9</v>
      </c>
      <c r="M16" s="8">
        <v>705.59</v>
      </c>
      <c r="N16" s="8">
        <v>10</v>
      </c>
      <c r="U16" s="5" t="s">
        <v>32</v>
      </c>
    </row>
    <row r="17" spans="1:23">
      <c r="A17" s="8">
        <v>10016</v>
      </c>
      <c r="B17" s="8">
        <v>1372</v>
      </c>
      <c r="C17" s="23">
        <v>44958</v>
      </c>
      <c r="D17" s="23">
        <v>44961</v>
      </c>
      <c r="E17" s="8" t="s">
        <v>21</v>
      </c>
      <c r="F17" s="8" t="s">
        <v>28</v>
      </c>
      <c r="G17" s="8" t="s">
        <v>16</v>
      </c>
      <c r="H17" s="8" t="s">
        <v>41</v>
      </c>
      <c r="I17" s="8" t="s">
        <v>30</v>
      </c>
      <c r="J17" s="8" t="s">
        <v>38</v>
      </c>
      <c r="K17" s="8" t="s">
        <v>20</v>
      </c>
      <c r="L17" s="8">
        <v>8</v>
      </c>
      <c r="M17" s="8">
        <v>595.45000000000005</v>
      </c>
      <c r="N17" s="8">
        <v>5</v>
      </c>
    </row>
    <row r="18" spans="1:23">
      <c r="A18" s="8">
        <v>10017</v>
      </c>
      <c r="B18" s="8">
        <v>1099</v>
      </c>
      <c r="C18" s="23">
        <v>45148</v>
      </c>
      <c r="D18" s="23">
        <v>45151</v>
      </c>
      <c r="E18" s="8" t="s">
        <v>15</v>
      </c>
      <c r="F18" s="8" t="s">
        <v>53</v>
      </c>
      <c r="G18" s="8" t="s">
        <v>16</v>
      </c>
      <c r="H18" s="8" t="s">
        <v>43</v>
      </c>
      <c r="I18" s="8" t="s">
        <v>30</v>
      </c>
      <c r="J18" s="8" t="s">
        <v>38</v>
      </c>
      <c r="K18" s="8" t="s">
        <v>27</v>
      </c>
      <c r="L18" s="8">
        <v>2</v>
      </c>
      <c r="M18" s="8">
        <v>254.91</v>
      </c>
      <c r="N18" s="8">
        <v>15</v>
      </c>
    </row>
    <row r="19" spans="1:23">
      <c r="A19" s="8">
        <v>10018</v>
      </c>
      <c r="B19" s="8">
        <v>1871</v>
      </c>
      <c r="C19" s="23">
        <v>45045</v>
      </c>
      <c r="D19" s="23">
        <v>45048</v>
      </c>
      <c r="E19" s="8" t="s">
        <v>14</v>
      </c>
      <c r="F19" s="8" t="s">
        <v>28</v>
      </c>
      <c r="G19" s="8" t="s">
        <v>23</v>
      </c>
      <c r="H19" s="8" t="s">
        <v>17</v>
      </c>
      <c r="I19" s="8" t="s">
        <v>18</v>
      </c>
      <c r="J19" s="8" t="s">
        <v>54</v>
      </c>
      <c r="K19" s="8" t="s">
        <v>27</v>
      </c>
      <c r="L19" s="8">
        <v>1</v>
      </c>
      <c r="M19" s="8">
        <v>2165.81</v>
      </c>
      <c r="N19" s="8">
        <v>15</v>
      </c>
    </row>
    <row r="20" spans="1:23">
      <c r="A20" s="8">
        <v>10019</v>
      </c>
      <c r="B20" s="8">
        <v>1663</v>
      </c>
      <c r="C20" s="23">
        <v>44965</v>
      </c>
      <c r="D20" s="23">
        <v>44968</v>
      </c>
      <c r="E20" s="8" t="s">
        <v>33</v>
      </c>
      <c r="F20" s="8" t="s">
        <v>37</v>
      </c>
      <c r="G20" s="8" t="s">
        <v>29</v>
      </c>
      <c r="H20" s="8" t="s">
        <v>41</v>
      </c>
      <c r="I20" s="8" t="s">
        <v>30</v>
      </c>
      <c r="J20" s="8" t="s">
        <v>38</v>
      </c>
      <c r="K20" s="8" t="s">
        <v>32</v>
      </c>
      <c r="L20" s="8">
        <v>2</v>
      </c>
      <c r="M20" s="8">
        <v>990.3</v>
      </c>
      <c r="N20" s="8">
        <v>15</v>
      </c>
      <c r="R20" s="12" t="s">
        <v>7</v>
      </c>
      <c r="S20" s="8" t="s">
        <v>34</v>
      </c>
      <c r="U20" t="s">
        <v>17</v>
      </c>
    </row>
    <row r="21" spans="1:23">
      <c r="A21" s="8">
        <v>10020</v>
      </c>
      <c r="B21" s="8">
        <v>1130</v>
      </c>
      <c r="C21" s="23">
        <v>45194</v>
      </c>
      <c r="D21" s="23">
        <v>45203</v>
      </c>
      <c r="E21" s="8" t="s">
        <v>45</v>
      </c>
      <c r="F21" s="8" t="s">
        <v>37</v>
      </c>
      <c r="G21" s="8" t="s">
        <v>16</v>
      </c>
      <c r="H21" s="8" t="s">
        <v>17</v>
      </c>
      <c r="I21" s="8" t="s">
        <v>48</v>
      </c>
      <c r="J21" s="8" t="s">
        <v>50</v>
      </c>
      <c r="K21" s="8" t="s">
        <v>20</v>
      </c>
      <c r="L21" s="8">
        <v>2</v>
      </c>
      <c r="M21" s="8">
        <v>3959.31</v>
      </c>
      <c r="N21" s="8">
        <v>5</v>
      </c>
      <c r="U21" t="s">
        <v>24</v>
      </c>
    </row>
    <row r="22" spans="1:23">
      <c r="A22" s="8">
        <v>10021</v>
      </c>
      <c r="B22" s="8">
        <v>1661</v>
      </c>
      <c r="C22" s="23">
        <v>45159</v>
      </c>
      <c r="D22" s="23">
        <v>45163</v>
      </c>
      <c r="E22" s="8" t="s">
        <v>45</v>
      </c>
      <c r="F22" s="8" t="s">
        <v>28</v>
      </c>
      <c r="G22" s="8" t="s">
        <v>23</v>
      </c>
      <c r="H22" s="8" t="s">
        <v>17</v>
      </c>
      <c r="I22" s="8" t="s">
        <v>51</v>
      </c>
      <c r="J22" s="8" t="s">
        <v>55</v>
      </c>
      <c r="K22" s="8" t="s">
        <v>20</v>
      </c>
      <c r="L22" s="8">
        <v>3</v>
      </c>
      <c r="M22" s="8">
        <v>2361.58</v>
      </c>
      <c r="N22" s="8">
        <v>5</v>
      </c>
      <c r="U22" t="s">
        <v>34</v>
      </c>
    </row>
    <row r="23" spans="1:23">
      <c r="A23" s="8">
        <v>10022</v>
      </c>
      <c r="B23" s="8">
        <v>1308</v>
      </c>
      <c r="C23" s="23">
        <v>44944</v>
      </c>
      <c r="D23" s="23">
        <v>44951</v>
      </c>
      <c r="E23" s="8" t="s">
        <v>36</v>
      </c>
      <c r="F23" s="8" t="s">
        <v>22</v>
      </c>
      <c r="G23" s="8" t="s">
        <v>29</v>
      </c>
      <c r="H23" s="8" t="s">
        <v>34</v>
      </c>
      <c r="I23" s="8" t="s">
        <v>56</v>
      </c>
      <c r="J23" s="8" t="s">
        <v>57</v>
      </c>
      <c r="K23" s="8" t="s">
        <v>32</v>
      </c>
      <c r="L23" s="8">
        <v>7</v>
      </c>
      <c r="M23" s="8">
        <v>680.86</v>
      </c>
      <c r="N23" s="8">
        <v>20</v>
      </c>
      <c r="U23" t="s">
        <v>41</v>
      </c>
    </row>
    <row r="24" spans="1:23">
      <c r="A24" s="8">
        <v>10023</v>
      </c>
      <c r="B24" s="8">
        <v>1769</v>
      </c>
      <c r="C24" s="23">
        <v>45075</v>
      </c>
      <c r="D24" s="23">
        <v>45084</v>
      </c>
      <c r="E24" s="8" t="s">
        <v>15</v>
      </c>
      <c r="F24" s="8" t="s">
        <v>22</v>
      </c>
      <c r="G24" s="8" t="s">
        <v>16</v>
      </c>
      <c r="H24" s="8" t="s">
        <v>41</v>
      </c>
      <c r="I24" s="8" t="s">
        <v>30</v>
      </c>
      <c r="J24" s="8" t="s">
        <v>31</v>
      </c>
      <c r="K24" s="8" t="s">
        <v>44</v>
      </c>
      <c r="L24" s="8">
        <v>2</v>
      </c>
      <c r="M24" s="8">
        <v>2801.74</v>
      </c>
      <c r="N24" s="8">
        <v>20</v>
      </c>
      <c r="U24" t="s">
        <v>43</v>
      </c>
    </row>
    <row r="25" spans="1:23">
      <c r="A25" s="8">
        <v>10024</v>
      </c>
      <c r="B25" s="8">
        <v>1343</v>
      </c>
      <c r="C25" s="23">
        <v>45075</v>
      </c>
      <c r="D25" s="23">
        <v>45082</v>
      </c>
      <c r="E25" s="8" t="s">
        <v>21</v>
      </c>
      <c r="F25" s="8" t="s">
        <v>40</v>
      </c>
      <c r="G25" s="8" t="s">
        <v>16</v>
      </c>
      <c r="H25" s="8" t="s">
        <v>43</v>
      </c>
      <c r="I25" s="8" t="s">
        <v>48</v>
      </c>
      <c r="J25" s="8" t="s">
        <v>50</v>
      </c>
      <c r="K25" s="8" t="s">
        <v>44</v>
      </c>
      <c r="L25" s="8">
        <v>1</v>
      </c>
      <c r="M25" s="8">
        <v>3606.31</v>
      </c>
      <c r="N25" s="8">
        <v>0</v>
      </c>
    </row>
    <row r="26" spans="1:23">
      <c r="A26" s="8">
        <v>10025</v>
      </c>
      <c r="B26" s="8">
        <v>1491</v>
      </c>
      <c r="C26" s="23">
        <v>45052</v>
      </c>
      <c r="D26" s="23">
        <v>45061</v>
      </c>
      <c r="E26" s="8" t="s">
        <v>36</v>
      </c>
      <c r="F26" s="8" t="s">
        <v>37</v>
      </c>
      <c r="G26" s="8" t="s">
        <v>29</v>
      </c>
      <c r="H26" s="8" t="s">
        <v>43</v>
      </c>
      <c r="I26" s="8" t="s">
        <v>56</v>
      </c>
      <c r="J26" s="8" t="s">
        <v>58</v>
      </c>
      <c r="K26" s="8" t="s">
        <v>44</v>
      </c>
      <c r="L26" s="8">
        <v>6</v>
      </c>
      <c r="M26" s="8">
        <v>3018.94</v>
      </c>
      <c r="N26" s="8">
        <v>5</v>
      </c>
    </row>
    <row r="27" spans="1:23">
      <c r="A27" s="8">
        <v>10026</v>
      </c>
      <c r="B27" s="8">
        <v>1413</v>
      </c>
      <c r="C27" s="23">
        <v>45228</v>
      </c>
      <c r="D27" s="23">
        <v>45231</v>
      </c>
      <c r="E27" s="8" t="s">
        <v>33</v>
      </c>
      <c r="F27" s="8" t="s">
        <v>15</v>
      </c>
      <c r="G27" s="8" t="s">
        <v>29</v>
      </c>
      <c r="H27" s="8" t="s">
        <v>41</v>
      </c>
      <c r="I27" s="8" t="s">
        <v>51</v>
      </c>
      <c r="J27" s="8" t="s">
        <v>59</v>
      </c>
      <c r="K27" s="8" t="s">
        <v>32</v>
      </c>
      <c r="L27" s="8">
        <v>9</v>
      </c>
      <c r="M27" s="8">
        <v>444.29</v>
      </c>
      <c r="N27" s="8">
        <v>5</v>
      </c>
    </row>
    <row r="28" spans="1:23">
      <c r="A28" s="8">
        <v>10027</v>
      </c>
      <c r="B28" s="8">
        <v>1805</v>
      </c>
      <c r="C28" s="23">
        <v>45286</v>
      </c>
      <c r="D28" s="23">
        <v>45290</v>
      </c>
      <c r="E28" s="8" t="s">
        <v>36</v>
      </c>
      <c r="F28" s="8" t="s">
        <v>40</v>
      </c>
      <c r="G28" s="8" t="s">
        <v>23</v>
      </c>
      <c r="H28" s="8" t="s">
        <v>34</v>
      </c>
      <c r="I28" s="8" t="s">
        <v>56</v>
      </c>
      <c r="J28" s="8" t="s">
        <v>57</v>
      </c>
      <c r="K28" s="8" t="s">
        <v>20</v>
      </c>
      <c r="L28" s="8">
        <v>3</v>
      </c>
      <c r="M28" s="8">
        <v>3599.15</v>
      </c>
      <c r="N28" s="8">
        <v>5</v>
      </c>
      <c r="R28" s="12" t="s">
        <v>8</v>
      </c>
      <c r="S28" s="8" t="s">
        <v>18</v>
      </c>
      <c r="U28" t="s">
        <v>18</v>
      </c>
      <c r="W28" t="s">
        <v>19</v>
      </c>
    </row>
    <row r="29" spans="1:23">
      <c r="A29" s="8">
        <v>10028</v>
      </c>
      <c r="B29" s="8">
        <v>1385</v>
      </c>
      <c r="C29" s="23">
        <v>45164</v>
      </c>
      <c r="D29" s="23">
        <v>45172</v>
      </c>
      <c r="E29" s="8" t="s">
        <v>39</v>
      </c>
      <c r="F29" s="8" t="s">
        <v>22</v>
      </c>
      <c r="G29" s="8" t="s">
        <v>23</v>
      </c>
      <c r="H29" s="8" t="s">
        <v>24</v>
      </c>
      <c r="I29" s="8" t="s">
        <v>48</v>
      </c>
      <c r="J29" s="8" t="s">
        <v>50</v>
      </c>
      <c r="K29" s="8" t="s">
        <v>32</v>
      </c>
      <c r="L29" s="8">
        <v>6</v>
      </c>
      <c r="M29" s="8">
        <v>3206.63</v>
      </c>
      <c r="N29" s="8">
        <v>20</v>
      </c>
      <c r="R29" s="12" t="s">
        <v>9</v>
      </c>
      <c r="S29" s="8" t="s">
        <v>50</v>
      </c>
      <c r="U29" t="s">
        <v>25</v>
      </c>
      <c r="W29" t="s">
        <v>26</v>
      </c>
    </row>
    <row r="30" spans="1:23">
      <c r="A30" s="8">
        <v>10029</v>
      </c>
      <c r="B30" s="8">
        <v>1191</v>
      </c>
      <c r="C30" s="23">
        <v>45061</v>
      </c>
      <c r="D30" s="23">
        <v>45067</v>
      </c>
      <c r="E30" s="8" t="s">
        <v>45</v>
      </c>
      <c r="F30" s="8" t="s">
        <v>28</v>
      </c>
      <c r="G30" s="8" t="s">
        <v>16</v>
      </c>
      <c r="H30" s="8" t="s">
        <v>17</v>
      </c>
      <c r="I30" s="8" t="s">
        <v>25</v>
      </c>
      <c r="J30" s="8" t="s">
        <v>26</v>
      </c>
      <c r="K30" s="8" t="s">
        <v>32</v>
      </c>
      <c r="L30" s="8">
        <v>3</v>
      </c>
      <c r="M30" s="8">
        <v>759.47</v>
      </c>
      <c r="N30" s="8">
        <v>15</v>
      </c>
      <c r="U30" t="s">
        <v>30</v>
      </c>
      <c r="W30" t="s">
        <v>31</v>
      </c>
    </row>
    <row r="31" spans="1:23">
      <c r="A31" s="8">
        <v>10030</v>
      </c>
      <c r="B31" s="8">
        <v>1955</v>
      </c>
      <c r="C31" s="23">
        <v>45077</v>
      </c>
      <c r="D31" s="23">
        <v>45082</v>
      </c>
      <c r="E31" s="8" t="s">
        <v>45</v>
      </c>
      <c r="F31" s="8" t="s">
        <v>22</v>
      </c>
      <c r="G31" s="8" t="s">
        <v>29</v>
      </c>
      <c r="H31" s="8" t="s">
        <v>34</v>
      </c>
      <c r="I31" s="8" t="s">
        <v>25</v>
      </c>
      <c r="J31" s="8" t="s">
        <v>60</v>
      </c>
      <c r="K31" s="8" t="s">
        <v>44</v>
      </c>
      <c r="L31" s="8">
        <v>1</v>
      </c>
      <c r="M31" s="8">
        <v>349.38</v>
      </c>
      <c r="N31" s="8">
        <v>10</v>
      </c>
      <c r="U31" t="s">
        <v>48</v>
      </c>
      <c r="W31" t="s">
        <v>35</v>
      </c>
    </row>
    <row r="32" spans="1:23">
      <c r="A32" s="8">
        <v>10031</v>
      </c>
      <c r="B32" s="8">
        <v>1276</v>
      </c>
      <c r="C32" s="23">
        <v>45162</v>
      </c>
      <c r="D32" s="23">
        <v>45166</v>
      </c>
      <c r="E32" s="8" t="s">
        <v>14</v>
      </c>
      <c r="F32" s="8" t="s">
        <v>28</v>
      </c>
      <c r="G32" s="8" t="s">
        <v>29</v>
      </c>
      <c r="H32" s="8" t="s">
        <v>41</v>
      </c>
      <c r="I32" s="8" t="s">
        <v>56</v>
      </c>
      <c r="J32" s="8" t="s">
        <v>61</v>
      </c>
      <c r="K32" s="8" t="s">
        <v>46</v>
      </c>
      <c r="L32" s="8">
        <v>5</v>
      </c>
      <c r="M32" s="8">
        <v>2295.65</v>
      </c>
      <c r="N32" s="8">
        <v>20</v>
      </c>
      <c r="U32" t="s">
        <v>51</v>
      </c>
      <c r="W32" t="s">
        <v>38</v>
      </c>
    </row>
    <row r="33" spans="1:23">
      <c r="A33" s="8">
        <v>10032</v>
      </c>
      <c r="B33" s="8">
        <v>1160</v>
      </c>
      <c r="C33" s="23">
        <v>45150</v>
      </c>
      <c r="D33" s="23">
        <v>45158</v>
      </c>
      <c r="E33" s="8" t="s">
        <v>14</v>
      </c>
      <c r="F33" s="8" t="s">
        <v>40</v>
      </c>
      <c r="G33" s="8" t="s">
        <v>29</v>
      </c>
      <c r="H33" s="8" t="s">
        <v>17</v>
      </c>
      <c r="I33" s="8" t="s">
        <v>18</v>
      </c>
      <c r="J33" s="8" t="s">
        <v>42</v>
      </c>
      <c r="K33" s="8" t="s">
        <v>20</v>
      </c>
      <c r="L33" s="8">
        <v>4</v>
      </c>
      <c r="M33" s="8">
        <v>750.74</v>
      </c>
      <c r="N33" s="8">
        <v>5</v>
      </c>
      <c r="U33" t="s">
        <v>56</v>
      </c>
      <c r="W33" t="s">
        <v>42</v>
      </c>
    </row>
    <row r="34" spans="1:23">
      <c r="A34" s="8">
        <v>10033</v>
      </c>
      <c r="B34" s="8">
        <v>1459</v>
      </c>
      <c r="C34" s="23">
        <v>45129</v>
      </c>
      <c r="D34" s="23">
        <v>45130</v>
      </c>
      <c r="E34" s="8" t="s">
        <v>21</v>
      </c>
      <c r="F34" s="8" t="s">
        <v>37</v>
      </c>
      <c r="G34" s="8" t="s">
        <v>16</v>
      </c>
      <c r="H34" s="8" t="s">
        <v>43</v>
      </c>
      <c r="I34" s="8" t="s">
        <v>56</v>
      </c>
      <c r="J34" s="8" t="s">
        <v>58</v>
      </c>
      <c r="K34" s="8" t="s">
        <v>44</v>
      </c>
      <c r="L34" s="8">
        <v>7</v>
      </c>
      <c r="M34" s="8">
        <v>3363.18</v>
      </c>
      <c r="N34" s="8">
        <v>20</v>
      </c>
      <c r="W34" t="s">
        <v>47</v>
      </c>
    </row>
    <row r="35" spans="1:23">
      <c r="A35" s="8">
        <v>10034</v>
      </c>
      <c r="B35" s="8">
        <v>1313</v>
      </c>
      <c r="C35" s="23">
        <v>45182</v>
      </c>
      <c r="D35" s="23">
        <v>45191</v>
      </c>
      <c r="E35" s="8" t="s">
        <v>33</v>
      </c>
      <c r="F35" s="8" t="s">
        <v>22</v>
      </c>
      <c r="G35" s="8" t="s">
        <v>29</v>
      </c>
      <c r="H35" s="8" t="s">
        <v>24</v>
      </c>
      <c r="I35" s="8" t="s">
        <v>30</v>
      </c>
      <c r="J35" s="8" t="s">
        <v>47</v>
      </c>
      <c r="K35" s="8" t="s">
        <v>46</v>
      </c>
      <c r="L35" s="8">
        <v>6</v>
      </c>
      <c r="M35" s="8">
        <v>1529.59</v>
      </c>
      <c r="N35" s="8">
        <v>0</v>
      </c>
      <c r="W35" t="s">
        <v>49</v>
      </c>
    </row>
    <row r="36" spans="1:23">
      <c r="A36" s="8">
        <v>10035</v>
      </c>
      <c r="B36" s="8">
        <v>1021</v>
      </c>
      <c r="C36" s="23">
        <v>45012</v>
      </c>
      <c r="D36" s="23">
        <v>45013</v>
      </c>
      <c r="E36" s="8" t="s">
        <v>39</v>
      </c>
      <c r="F36" s="8" t="s">
        <v>28</v>
      </c>
      <c r="G36" s="8" t="s">
        <v>29</v>
      </c>
      <c r="H36" s="8" t="s">
        <v>43</v>
      </c>
      <c r="I36" s="8" t="s">
        <v>30</v>
      </c>
      <c r="J36" s="8" t="s">
        <v>47</v>
      </c>
      <c r="K36" s="8" t="s">
        <v>46</v>
      </c>
      <c r="L36" s="8">
        <v>7</v>
      </c>
      <c r="M36" s="8">
        <v>3664.64</v>
      </c>
      <c r="N36" s="8">
        <v>5</v>
      </c>
      <c r="W36" t="s">
        <v>50</v>
      </c>
    </row>
    <row r="37" spans="1:23">
      <c r="A37" s="8">
        <v>10036</v>
      </c>
      <c r="B37" s="8">
        <v>1252</v>
      </c>
      <c r="C37" s="23">
        <v>45076</v>
      </c>
      <c r="D37" s="23">
        <v>45084</v>
      </c>
      <c r="E37" s="8" t="s">
        <v>15</v>
      </c>
      <c r="F37" s="8" t="s">
        <v>37</v>
      </c>
      <c r="G37" s="8" t="s">
        <v>16</v>
      </c>
      <c r="H37" s="8" t="s">
        <v>41</v>
      </c>
      <c r="I37" s="8" t="s">
        <v>25</v>
      </c>
      <c r="J37" s="8" t="s">
        <v>26</v>
      </c>
      <c r="K37" s="8" t="s">
        <v>27</v>
      </c>
      <c r="L37" s="8">
        <v>5</v>
      </c>
      <c r="M37" s="8">
        <v>2327.9</v>
      </c>
      <c r="N37" s="8">
        <v>0</v>
      </c>
      <c r="W37" t="s">
        <v>52</v>
      </c>
    </row>
    <row r="38" spans="1:23">
      <c r="A38" s="8">
        <v>10037</v>
      </c>
      <c r="B38" s="8">
        <v>1747</v>
      </c>
      <c r="C38" s="23">
        <v>45161</v>
      </c>
      <c r="D38" s="23">
        <v>45165</v>
      </c>
      <c r="E38" s="8" t="s">
        <v>36</v>
      </c>
      <c r="F38" s="8" t="s">
        <v>15</v>
      </c>
      <c r="G38" s="8" t="s">
        <v>23</v>
      </c>
      <c r="H38" s="8" t="s">
        <v>17</v>
      </c>
      <c r="I38" s="8" t="s">
        <v>18</v>
      </c>
      <c r="J38" s="8" t="s">
        <v>54</v>
      </c>
      <c r="K38" s="8" t="s">
        <v>20</v>
      </c>
      <c r="L38" s="8">
        <v>4</v>
      </c>
      <c r="M38" s="8">
        <v>853.29</v>
      </c>
      <c r="N38" s="8">
        <v>5</v>
      </c>
      <c r="W38" t="s">
        <v>54</v>
      </c>
    </row>
    <row r="39" spans="1:23">
      <c r="A39" s="8">
        <v>10038</v>
      </c>
      <c r="B39" s="8">
        <v>1856</v>
      </c>
      <c r="C39" s="23">
        <v>45271</v>
      </c>
      <c r="D39" s="23">
        <v>45280</v>
      </c>
      <c r="E39" s="8" t="s">
        <v>21</v>
      </c>
      <c r="F39" s="8" t="s">
        <v>28</v>
      </c>
      <c r="G39" s="8" t="s">
        <v>23</v>
      </c>
      <c r="H39" s="8" t="s">
        <v>41</v>
      </c>
      <c r="I39" s="8" t="s">
        <v>48</v>
      </c>
      <c r="J39" s="8" t="s">
        <v>62</v>
      </c>
      <c r="K39" s="8" t="s">
        <v>46</v>
      </c>
      <c r="L39" s="8">
        <v>7</v>
      </c>
      <c r="M39" s="8">
        <v>687.46</v>
      </c>
      <c r="N39" s="8">
        <v>20</v>
      </c>
      <c r="W39" t="s">
        <v>55</v>
      </c>
    </row>
    <row r="40" spans="1:23">
      <c r="A40" s="8">
        <v>10039</v>
      </c>
      <c r="B40" s="8">
        <v>1560</v>
      </c>
      <c r="C40" s="23">
        <v>44948</v>
      </c>
      <c r="D40" s="23">
        <v>44953</v>
      </c>
      <c r="E40" s="8" t="s">
        <v>33</v>
      </c>
      <c r="F40" s="8" t="s">
        <v>40</v>
      </c>
      <c r="G40" s="8" t="s">
        <v>16</v>
      </c>
      <c r="H40" s="8" t="s">
        <v>17</v>
      </c>
      <c r="I40" s="8" t="s">
        <v>30</v>
      </c>
      <c r="J40" s="8" t="s">
        <v>47</v>
      </c>
      <c r="K40" s="8" t="s">
        <v>44</v>
      </c>
      <c r="L40" s="8">
        <v>7</v>
      </c>
      <c r="M40" s="8">
        <v>2369.42</v>
      </c>
      <c r="N40" s="8">
        <v>15</v>
      </c>
      <c r="W40" t="s">
        <v>57</v>
      </c>
    </row>
    <row r="41" spans="1:23">
      <c r="A41" s="8">
        <v>10040</v>
      </c>
      <c r="B41" s="8">
        <v>1474</v>
      </c>
      <c r="C41" s="23">
        <v>45274</v>
      </c>
      <c r="D41" s="23">
        <v>45277</v>
      </c>
      <c r="E41" s="8" t="s">
        <v>14</v>
      </c>
      <c r="F41" s="8" t="s">
        <v>15</v>
      </c>
      <c r="G41" s="8" t="s">
        <v>29</v>
      </c>
      <c r="H41" s="8" t="s">
        <v>34</v>
      </c>
      <c r="I41" s="8" t="s">
        <v>25</v>
      </c>
      <c r="J41" s="8" t="s">
        <v>26</v>
      </c>
      <c r="K41" s="8" t="s">
        <v>27</v>
      </c>
      <c r="L41" s="8">
        <v>6</v>
      </c>
      <c r="M41" s="8">
        <v>3083.25</v>
      </c>
      <c r="N41" s="8">
        <v>10</v>
      </c>
      <c r="W41" t="s">
        <v>58</v>
      </c>
    </row>
    <row r="42" spans="1:23">
      <c r="A42" s="8">
        <v>10041</v>
      </c>
      <c r="B42" s="8">
        <v>1058</v>
      </c>
      <c r="C42" s="23">
        <v>45211</v>
      </c>
      <c r="D42" s="23">
        <v>45220</v>
      </c>
      <c r="E42" s="8" t="s">
        <v>36</v>
      </c>
      <c r="F42" s="8" t="s">
        <v>15</v>
      </c>
      <c r="G42" s="8" t="s">
        <v>16</v>
      </c>
      <c r="H42" s="8" t="s">
        <v>24</v>
      </c>
      <c r="I42" s="8" t="s">
        <v>51</v>
      </c>
      <c r="J42" s="8" t="s">
        <v>63</v>
      </c>
      <c r="K42" s="8" t="s">
        <v>20</v>
      </c>
      <c r="L42" s="8">
        <v>8</v>
      </c>
      <c r="M42" s="8">
        <v>3158.8</v>
      </c>
      <c r="N42" s="8">
        <v>0</v>
      </c>
      <c r="W42" t="s">
        <v>59</v>
      </c>
    </row>
    <row r="43" spans="1:23">
      <c r="A43" s="8">
        <v>10042</v>
      </c>
      <c r="B43" s="8">
        <v>1510</v>
      </c>
      <c r="C43" s="23">
        <v>45195</v>
      </c>
      <c r="D43" s="23">
        <v>45204</v>
      </c>
      <c r="E43" s="8" t="s">
        <v>14</v>
      </c>
      <c r="F43" s="8" t="s">
        <v>53</v>
      </c>
      <c r="G43" s="8" t="s">
        <v>23</v>
      </c>
      <c r="H43" s="8" t="s">
        <v>34</v>
      </c>
      <c r="I43" s="8" t="s">
        <v>25</v>
      </c>
      <c r="J43" s="8" t="s">
        <v>26</v>
      </c>
      <c r="K43" s="8" t="s">
        <v>32</v>
      </c>
      <c r="L43" s="8">
        <v>4</v>
      </c>
      <c r="M43" s="8">
        <v>1211.67</v>
      </c>
      <c r="N43" s="8">
        <v>20</v>
      </c>
      <c r="W43" t="s">
        <v>60</v>
      </c>
    </row>
    <row r="44" spans="1:23">
      <c r="A44" s="8">
        <v>10043</v>
      </c>
      <c r="B44" s="8">
        <v>1681</v>
      </c>
      <c r="C44" s="23">
        <v>45184</v>
      </c>
      <c r="D44" s="23">
        <v>45188</v>
      </c>
      <c r="E44" s="8" t="s">
        <v>36</v>
      </c>
      <c r="F44" s="8" t="s">
        <v>22</v>
      </c>
      <c r="G44" s="8" t="s">
        <v>23</v>
      </c>
      <c r="H44" s="8" t="s">
        <v>34</v>
      </c>
      <c r="I44" s="8" t="s">
        <v>30</v>
      </c>
      <c r="J44" s="8" t="s">
        <v>47</v>
      </c>
      <c r="K44" s="8" t="s">
        <v>44</v>
      </c>
      <c r="L44" s="8">
        <v>5</v>
      </c>
      <c r="M44" s="8">
        <v>936.35</v>
      </c>
      <c r="N44" s="8">
        <v>15</v>
      </c>
      <c r="W44" t="s">
        <v>61</v>
      </c>
    </row>
    <row r="45" spans="1:23">
      <c r="A45" s="8">
        <v>10044</v>
      </c>
      <c r="B45" s="8">
        <v>1475</v>
      </c>
      <c r="C45" s="23">
        <v>44955</v>
      </c>
      <c r="D45" s="23">
        <v>44959</v>
      </c>
      <c r="E45" s="8" t="s">
        <v>15</v>
      </c>
      <c r="F45" s="8" t="s">
        <v>28</v>
      </c>
      <c r="G45" s="8" t="s">
        <v>16</v>
      </c>
      <c r="H45" s="8" t="s">
        <v>41</v>
      </c>
      <c r="I45" s="8" t="s">
        <v>30</v>
      </c>
      <c r="J45" s="8" t="s">
        <v>47</v>
      </c>
      <c r="K45" s="8" t="s">
        <v>46</v>
      </c>
      <c r="L45" s="8">
        <v>4</v>
      </c>
      <c r="M45" s="8">
        <v>214.51</v>
      </c>
      <c r="N45" s="8">
        <v>20</v>
      </c>
      <c r="W45" t="s">
        <v>62</v>
      </c>
    </row>
    <row r="46" spans="1:23">
      <c r="A46" s="8">
        <v>10045</v>
      </c>
      <c r="B46" s="8">
        <v>1699</v>
      </c>
      <c r="C46" s="23">
        <v>45139</v>
      </c>
      <c r="D46" s="23">
        <v>45147</v>
      </c>
      <c r="E46" s="8" t="s">
        <v>33</v>
      </c>
      <c r="F46" s="8" t="s">
        <v>15</v>
      </c>
      <c r="G46" s="8" t="s">
        <v>16</v>
      </c>
      <c r="H46" s="8" t="s">
        <v>24</v>
      </c>
      <c r="I46" s="8" t="s">
        <v>25</v>
      </c>
      <c r="J46" s="8" t="s">
        <v>60</v>
      </c>
      <c r="K46" s="8" t="s">
        <v>46</v>
      </c>
      <c r="L46" s="8">
        <v>1</v>
      </c>
      <c r="M46" s="8">
        <v>2764.92</v>
      </c>
      <c r="N46" s="8">
        <v>0</v>
      </c>
      <c r="W46" t="s">
        <v>63</v>
      </c>
    </row>
    <row r="47" spans="1:23">
      <c r="A47" s="8">
        <v>10046</v>
      </c>
      <c r="B47" s="8">
        <v>1975</v>
      </c>
      <c r="C47" s="23">
        <v>45209</v>
      </c>
      <c r="D47" s="23">
        <v>45211</v>
      </c>
      <c r="E47" s="8" t="s">
        <v>36</v>
      </c>
      <c r="F47" s="8" t="s">
        <v>53</v>
      </c>
      <c r="G47" s="8" t="s">
        <v>23</v>
      </c>
      <c r="H47" s="8" t="s">
        <v>17</v>
      </c>
      <c r="I47" s="8" t="s">
        <v>48</v>
      </c>
      <c r="J47" s="8" t="s">
        <v>50</v>
      </c>
      <c r="K47" s="8" t="s">
        <v>44</v>
      </c>
      <c r="L47" s="8">
        <v>8</v>
      </c>
      <c r="M47" s="8">
        <v>444.79</v>
      </c>
      <c r="N47" s="8">
        <v>10</v>
      </c>
      <c r="W47" t="s">
        <v>64</v>
      </c>
    </row>
    <row r="48" spans="1:23">
      <c r="A48" s="8">
        <v>10047</v>
      </c>
      <c r="B48" s="8">
        <v>1782</v>
      </c>
      <c r="C48" s="23">
        <v>44976</v>
      </c>
      <c r="D48" s="23">
        <v>44985</v>
      </c>
      <c r="E48" s="8" t="s">
        <v>39</v>
      </c>
      <c r="F48" s="8" t="s">
        <v>40</v>
      </c>
      <c r="G48" s="8" t="s">
        <v>16</v>
      </c>
      <c r="H48" s="8" t="s">
        <v>17</v>
      </c>
      <c r="I48" s="8" t="s">
        <v>56</v>
      </c>
      <c r="J48" s="8" t="s">
        <v>61</v>
      </c>
      <c r="K48" s="8" t="s">
        <v>46</v>
      </c>
      <c r="L48" s="8">
        <v>1</v>
      </c>
      <c r="M48" s="8">
        <v>1769.93</v>
      </c>
      <c r="N48" s="8">
        <v>20</v>
      </c>
      <c r="W48" t="s">
        <v>65</v>
      </c>
    </row>
    <row r="49" spans="1:23">
      <c r="A49" s="8">
        <v>10048</v>
      </c>
      <c r="B49" s="8">
        <v>1189</v>
      </c>
      <c r="C49" s="23">
        <v>45021</v>
      </c>
      <c r="D49" s="23">
        <v>45027</v>
      </c>
      <c r="E49" s="8" t="s">
        <v>21</v>
      </c>
      <c r="F49" s="8" t="s">
        <v>37</v>
      </c>
      <c r="G49" s="8" t="s">
        <v>23</v>
      </c>
      <c r="H49" s="8" t="s">
        <v>43</v>
      </c>
      <c r="I49" s="8" t="s">
        <v>30</v>
      </c>
      <c r="J49" s="8" t="s">
        <v>64</v>
      </c>
      <c r="K49" s="8" t="s">
        <v>27</v>
      </c>
      <c r="L49" s="8">
        <v>5</v>
      </c>
      <c r="M49" s="8">
        <v>2466.48</v>
      </c>
      <c r="N49" s="8">
        <v>5</v>
      </c>
      <c r="W49" t="s">
        <v>66</v>
      </c>
    </row>
    <row r="50" spans="1:23">
      <c r="A50" s="8">
        <v>10049</v>
      </c>
      <c r="B50" s="8">
        <v>1957</v>
      </c>
      <c r="C50" s="23">
        <v>45014</v>
      </c>
      <c r="D50" s="23">
        <v>45023</v>
      </c>
      <c r="E50" s="8" t="s">
        <v>45</v>
      </c>
      <c r="F50" s="8" t="s">
        <v>28</v>
      </c>
      <c r="G50" s="8" t="s">
        <v>16</v>
      </c>
      <c r="H50" s="8" t="s">
        <v>17</v>
      </c>
      <c r="I50" s="8" t="s">
        <v>25</v>
      </c>
      <c r="J50" s="8" t="s">
        <v>26</v>
      </c>
      <c r="K50" s="8" t="s">
        <v>20</v>
      </c>
      <c r="L50" s="8">
        <v>6</v>
      </c>
      <c r="M50" s="8">
        <v>3757.87</v>
      </c>
      <c r="N50" s="8">
        <v>15</v>
      </c>
      <c r="W50" t="s">
        <v>67</v>
      </c>
    </row>
    <row r="51" spans="1:23">
      <c r="A51" s="8">
        <v>10050</v>
      </c>
      <c r="B51" s="8">
        <v>1686</v>
      </c>
      <c r="C51" s="23">
        <v>44970</v>
      </c>
      <c r="D51" s="23">
        <v>44978</v>
      </c>
      <c r="E51" s="8" t="s">
        <v>39</v>
      </c>
      <c r="F51" s="8" t="s">
        <v>15</v>
      </c>
      <c r="G51" s="8" t="s">
        <v>16</v>
      </c>
      <c r="H51" s="8" t="s">
        <v>41</v>
      </c>
      <c r="I51" s="8" t="s">
        <v>25</v>
      </c>
      <c r="J51" s="8" t="s">
        <v>60</v>
      </c>
      <c r="K51" s="8" t="s">
        <v>27</v>
      </c>
      <c r="L51" s="8">
        <v>6</v>
      </c>
      <c r="M51" s="8">
        <v>1350.44</v>
      </c>
      <c r="N51" s="8">
        <v>20</v>
      </c>
      <c r="W51" t="s">
        <v>68</v>
      </c>
    </row>
    <row r="52" spans="1:23">
      <c r="A52" s="8">
        <v>10052</v>
      </c>
      <c r="B52" s="8">
        <v>1562</v>
      </c>
      <c r="C52" s="23">
        <v>45097</v>
      </c>
      <c r="D52" s="23">
        <v>45098</v>
      </c>
      <c r="E52" s="8" t="s">
        <v>21</v>
      </c>
      <c r="F52" s="8" t="s">
        <v>53</v>
      </c>
      <c r="G52" s="8" t="s">
        <v>23</v>
      </c>
      <c r="H52" s="8" t="s">
        <v>34</v>
      </c>
      <c r="I52" s="8" t="s">
        <v>56</v>
      </c>
      <c r="J52" s="8" t="s">
        <v>61</v>
      </c>
      <c r="K52" s="8" t="s">
        <v>32</v>
      </c>
      <c r="L52" s="8">
        <v>3</v>
      </c>
      <c r="M52" s="8">
        <v>2668.52</v>
      </c>
      <c r="N52" s="8">
        <v>5</v>
      </c>
    </row>
    <row r="53" spans="1:23">
      <c r="A53" s="8">
        <v>10053</v>
      </c>
      <c r="B53" s="8">
        <v>1875</v>
      </c>
      <c r="C53" s="23">
        <v>45115</v>
      </c>
      <c r="D53" s="23">
        <v>45118</v>
      </c>
      <c r="E53" s="8" t="s">
        <v>45</v>
      </c>
      <c r="F53" s="8" t="s">
        <v>15</v>
      </c>
      <c r="G53" s="8" t="s">
        <v>16</v>
      </c>
      <c r="H53" s="8" t="s">
        <v>34</v>
      </c>
      <c r="I53" s="8" t="s">
        <v>51</v>
      </c>
      <c r="J53" s="8" t="s">
        <v>63</v>
      </c>
      <c r="K53" s="8" t="s">
        <v>20</v>
      </c>
      <c r="L53" s="8">
        <v>5</v>
      </c>
      <c r="M53" s="8">
        <v>2534.0700000000002</v>
      </c>
      <c r="N53" s="8">
        <v>10</v>
      </c>
    </row>
    <row r="54" spans="1:23">
      <c r="A54" s="8">
        <v>10054</v>
      </c>
      <c r="B54" s="8">
        <v>1566</v>
      </c>
      <c r="C54" s="23">
        <v>45279</v>
      </c>
      <c r="D54" s="23">
        <v>45281</v>
      </c>
      <c r="E54" s="8" t="s">
        <v>39</v>
      </c>
      <c r="F54" s="8" t="s">
        <v>22</v>
      </c>
      <c r="G54" s="8" t="s">
        <v>23</v>
      </c>
      <c r="H54" s="8" t="s">
        <v>24</v>
      </c>
      <c r="I54" s="8" t="s">
        <v>48</v>
      </c>
      <c r="J54" s="8" t="s">
        <v>49</v>
      </c>
      <c r="K54" s="8" t="s">
        <v>20</v>
      </c>
      <c r="L54" s="8">
        <v>8</v>
      </c>
      <c r="M54" s="8">
        <v>1428.62</v>
      </c>
      <c r="N54" s="8">
        <v>10</v>
      </c>
    </row>
    <row r="55" spans="1:23">
      <c r="A55" s="8">
        <v>10055</v>
      </c>
      <c r="B55" s="8">
        <v>1243</v>
      </c>
      <c r="C55" s="23">
        <v>45110</v>
      </c>
      <c r="D55" s="23">
        <v>45115</v>
      </c>
      <c r="E55" s="8" t="s">
        <v>36</v>
      </c>
      <c r="F55" s="8" t="s">
        <v>15</v>
      </c>
      <c r="G55" s="8" t="s">
        <v>23</v>
      </c>
      <c r="H55" s="8" t="s">
        <v>17</v>
      </c>
      <c r="I55" s="8" t="s">
        <v>51</v>
      </c>
      <c r="J55" s="8" t="s">
        <v>63</v>
      </c>
      <c r="K55" s="8" t="s">
        <v>44</v>
      </c>
      <c r="L55" s="8">
        <v>2</v>
      </c>
      <c r="M55" s="8">
        <v>3723.19</v>
      </c>
      <c r="N55" s="8">
        <v>5</v>
      </c>
    </row>
    <row r="56" spans="1:23">
      <c r="A56" s="8">
        <v>10056</v>
      </c>
      <c r="B56" s="8">
        <v>1831</v>
      </c>
      <c r="C56" s="23">
        <v>44929</v>
      </c>
      <c r="D56" s="23">
        <v>44934</v>
      </c>
      <c r="E56" s="8" t="s">
        <v>36</v>
      </c>
      <c r="F56" s="8" t="s">
        <v>28</v>
      </c>
      <c r="G56" s="8" t="s">
        <v>16</v>
      </c>
      <c r="H56" s="8" t="s">
        <v>41</v>
      </c>
      <c r="I56" s="8" t="s">
        <v>56</v>
      </c>
      <c r="J56" s="8" t="s">
        <v>61</v>
      </c>
      <c r="K56" s="8" t="s">
        <v>44</v>
      </c>
      <c r="L56" s="8">
        <v>6</v>
      </c>
      <c r="M56" s="8">
        <v>3402.72</v>
      </c>
      <c r="N56" s="8">
        <v>15</v>
      </c>
    </row>
    <row r="57" spans="1:23">
      <c r="A57" s="8">
        <v>10057</v>
      </c>
      <c r="B57" s="8">
        <v>1504</v>
      </c>
      <c r="C57" s="23">
        <v>45117</v>
      </c>
      <c r="D57" s="23">
        <v>45122</v>
      </c>
      <c r="E57" s="8" t="s">
        <v>36</v>
      </c>
      <c r="F57" s="8" t="s">
        <v>28</v>
      </c>
      <c r="G57" s="8" t="s">
        <v>16</v>
      </c>
      <c r="H57" s="8" t="s">
        <v>24</v>
      </c>
      <c r="I57" s="8" t="s">
        <v>56</v>
      </c>
      <c r="J57" s="8" t="s">
        <v>57</v>
      </c>
      <c r="K57" s="8" t="s">
        <v>32</v>
      </c>
      <c r="L57" s="8">
        <v>9</v>
      </c>
      <c r="M57" s="8">
        <v>1012.33</v>
      </c>
      <c r="N57" s="8">
        <v>20</v>
      </c>
    </row>
    <row r="58" spans="1:23">
      <c r="A58" s="8">
        <v>10059</v>
      </c>
      <c r="B58" s="8">
        <v>1484</v>
      </c>
      <c r="C58" s="23">
        <v>44945</v>
      </c>
      <c r="D58" s="23">
        <v>44950</v>
      </c>
      <c r="E58" s="8" t="s">
        <v>39</v>
      </c>
      <c r="F58" s="8" t="s">
        <v>40</v>
      </c>
      <c r="G58" s="8" t="s">
        <v>23</v>
      </c>
      <c r="H58" s="8" t="s">
        <v>41</v>
      </c>
      <c r="I58" s="8" t="s">
        <v>51</v>
      </c>
      <c r="J58" s="8" t="s">
        <v>63</v>
      </c>
      <c r="K58" s="8" t="s">
        <v>32</v>
      </c>
      <c r="L58" s="8">
        <v>8</v>
      </c>
      <c r="M58" s="8">
        <v>2122.36</v>
      </c>
      <c r="N58" s="8">
        <v>0</v>
      </c>
    </row>
    <row r="59" spans="1:23">
      <c r="A59" s="8">
        <v>10060</v>
      </c>
      <c r="B59" s="8">
        <v>1818</v>
      </c>
      <c r="C59" s="23">
        <v>44949</v>
      </c>
      <c r="D59" s="23">
        <v>44952</v>
      </c>
      <c r="E59" s="8" t="s">
        <v>45</v>
      </c>
      <c r="F59" s="8" t="s">
        <v>40</v>
      </c>
      <c r="G59" s="8" t="s">
        <v>29</v>
      </c>
      <c r="H59" s="8" t="s">
        <v>41</v>
      </c>
      <c r="I59" s="8" t="s">
        <v>56</v>
      </c>
      <c r="J59" s="8" t="s">
        <v>61</v>
      </c>
      <c r="K59" s="8" t="s">
        <v>44</v>
      </c>
      <c r="L59" s="8">
        <v>8</v>
      </c>
      <c r="M59" s="8">
        <v>3128.25</v>
      </c>
      <c r="N59" s="8">
        <v>15</v>
      </c>
    </row>
    <row r="60" spans="1:23">
      <c r="A60" s="8">
        <v>10061</v>
      </c>
      <c r="B60" s="8">
        <v>1646</v>
      </c>
      <c r="C60" s="23">
        <v>44956</v>
      </c>
      <c r="D60" s="23">
        <v>44957</v>
      </c>
      <c r="E60" s="8" t="s">
        <v>36</v>
      </c>
      <c r="F60" s="8" t="s">
        <v>53</v>
      </c>
      <c r="G60" s="8" t="s">
        <v>23</v>
      </c>
      <c r="H60" s="8" t="s">
        <v>41</v>
      </c>
      <c r="I60" s="8" t="s">
        <v>25</v>
      </c>
      <c r="J60" s="8" t="s">
        <v>35</v>
      </c>
      <c r="K60" s="8" t="s">
        <v>44</v>
      </c>
      <c r="L60" s="8">
        <v>7</v>
      </c>
      <c r="M60" s="8">
        <v>319.56</v>
      </c>
      <c r="N60" s="8">
        <v>10</v>
      </c>
    </row>
    <row r="61" spans="1:23">
      <c r="A61" s="8">
        <v>10063</v>
      </c>
      <c r="B61" s="8">
        <v>1840</v>
      </c>
      <c r="C61" s="23">
        <v>45034</v>
      </c>
      <c r="D61" s="23">
        <v>45043</v>
      </c>
      <c r="E61" s="8" t="s">
        <v>39</v>
      </c>
      <c r="F61" s="8" t="s">
        <v>22</v>
      </c>
      <c r="G61" s="8" t="s">
        <v>29</v>
      </c>
      <c r="H61" s="8" t="s">
        <v>41</v>
      </c>
      <c r="I61" s="8" t="s">
        <v>56</v>
      </c>
      <c r="J61" s="8" t="s">
        <v>61</v>
      </c>
      <c r="K61" s="8" t="s">
        <v>27</v>
      </c>
      <c r="L61" s="8">
        <v>6</v>
      </c>
      <c r="M61" s="8">
        <v>2645.71</v>
      </c>
      <c r="N61" s="8">
        <v>10</v>
      </c>
    </row>
    <row r="62" spans="1:23">
      <c r="A62" s="8">
        <v>10064</v>
      </c>
      <c r="B62" s="8">
        <v>1166</v>
      </c>
      <c r="C62" s="23">
        <v>45207</v>
      </c>
      <c r="D62" s="23">
        <v>45216</v>
      </c>
      <c r="E62" s="8" t="s">
        <v>39</v>
      </c>
      <c r="F62" s="8" t="s">
        <v>15</v>
      </c>
      <c r="G62" s="8" t="s">
        <v>29</v>
      </c>
      <c r="H62" s="8" t="s">
        <v>17</v>
      </c>
      <c r="I62" s="8" t="s">
        <v>25</v>
      </c>
      <c r="J62" s="8" t="s">
        <v>35</v>
      </c>
      <c r="K62" s="8" t="s">
        <v>46</v>
      </c>
      <c r="L62" s="8">
        <v>2</v>
      </c>
      <c r="M62" s="8">
        <v>1041.2</v>
      </c>
      <c r="N62" s="8">
        <v>15</v>
      </c>
    </row>
    <row r="63" spans="1:23">
      <c r="A63" s="8">
        <v>10065</v>
      </c>
      <c r="B63" s="8">
        <v>1273</v>
      </c>
      <c r="C63" s="23">
        <v>45054</v>
      </c>
      <c r="D63" s="23">
        <v>45058</v>
      </c>
      <c r="E63" s="8" t="s">
        <v>14</v>
      </c>
      <c r="F63" s="8" t="s">
        <v>37</v>
      </c>
      <c r="G63" s="8" t="s">
        <v>16</v>
      </c>
      <c r="H63" s="8" t="s">
        <v>41</v>
      </c>
      <c r="I63" s="8" t="s">
        <v>18</v>
      </c>
      <c r="J63" s="8" t="s">
        <v>42</v>
      </c>
      <c r="K63" s="8" t="s">
        <v>44</v>
      </c>
      <c r="L63" s="8">
        <v>2</v>
      </c>
      <c r="M63" s="8">
        <v>2773.21</v>
      </c>
      <c r="N63" s="8">
        <v>10</v>
      </c>
    </row>
    <row r="64" spans="1:23">
      <c r="A64" s="8">
        <v>10066</v>
      </c>
      <c r="B64" s="8">
        <v>1387</v>
      </c>
      <c r="C64" s="23">
        <v>45155</v>
      </c>
      <c r="D64" s="23">
        <v>45158</v>
      </c>
      <c r="E64" s="8" t="s">
        <v>14</v>
      </c>
      <c r="F64" s="8" t="s">
        <v>22</v>
      </c>
      <c r="G64" s="8" t="s">
        <v>16</v>
      </c>
      <c r="H64" s="8" t="s">
        <v>34</v>
      </c>
      <c r="I64" s="8" t="s">
        <v>56</v>
      </c>
      <c r="J64" s="8" t="s">
        <v>65</v>
      </c>
      <c r="K64" s="8" t="s">
        <v>44</v>
      </c>
      <c r="L64" s="8">
        <v>8</v>
      </c>
      <c r="M64" s="8">
        <v>3769.71</v>
      </c>
      <c r="N64" s="8">
        <v>5</v>
      </c>
    </row>
    <row r="65" spans="1:14">
      <c r="A65" s="8">
        <v>10067</v>
      </c>
      <c r="B65" s="8">
        <v>1600</v>
      </c>
      <c r="C65" s="23">
        <v>45037</v>
      </c>
      <c r="D65" s="23">
        <v>45038</v>
      </c>
      <c r="E65" s="8" t="s">
        <v>15</v>
      </c>
      <c r="F65" s="8" t="s">
        <v>40</v>
      </c>
      <c r="G65" s="8" t="s">
        <v>23</v>
      </c>
      <c r="H65" s="8" t="s">
        <v>41</v>
      </c>
      <c r="I65" s="8" t="s">
        <v>51</v>
      </c>
      <c r="J65" s="8" t="s">
        <v>63</v>
      </c>
      <c r="K65" s="8" t="s">
        <v>27</v>
      </c>
      <c r="L65" s="8">
        <v>1</v>
      </c>
      <c r="M65" s="8">
        <v>330.13</v>
      </c>
      <c r="N65" s="8">
        <v>15</v>
      </c>
    </row>
    <row r="66" spans="1:14">
      <c r="A66" s="8">
        <v>10068</v>
      </c>
      <c r="B66" s="8">
        <v>1315</v>
      </c>
      <c r="C66" s="23">
        <v>45062</v>
      </c>
      <c r="D66" s="23">
        <v>45064</v>
      </c>
      <c r="E66" s="8" t="s">
        <v>33</v>
      </c>
      <c r="F66" s="8" t="s">
        <v>40</v>
      </c>
      <c r="G66" s="8" t="s">
        <v>29</v>
      </c>
      <c r="H66" s="8" t="s">
        <v>43</v>
      </c>
      <c r="I66" s="8" t="s">
        <v>30</v>
      </c>
      <c r="J66" s="8" t="s">
        <v>47</v>
      </c>
      <c r="K66" s="8" t="s">
        <v>27</v>
      </c>
      <c r="L66" s="8">
        <v>6</v>
      </c>
      <c r="M66" s="8">
        <v>1380.66</v>
      </c>
      <c r="N66" s="8">
        <v>0</v>
      </c>
    </row>
    <row r="67" spans="1:14">
      <c r="A67" s="8">
        <v>10069</v>
      </c>
      <c r="B67" s="8">
        <v>1013</v>
      </c>
      <c r="C67" s="23">
        <v>45288</v>
      </c>
      <c r="D67" s="23">
        <v>45296</v>
      </c>
      <c r="E67" s="8" t="s">
        <v>14</v>
      </c>
      <c r="F67" s="8" t="s">
        <v>22</v>
      </c>
      <c r="G67" s="8" t="s">
        <v>16</v>
      </c>
      <c r="H67" s="8" t="s">
        <v>43</v>
      </c>
      <c r="I67" s="8" t="s">
        <v>56</v>
      </c>
      <c r="J67" s="8" t="s">
        <v>61</v>
      </c>
      <c r="K67" s="8" t="s">
        <v>32</v>
      </c>
      <c r="L67" s="8">
        <v>6</v>
      </c>
      <c r="M67" s="8">
        <v>1836.98</v>
      </c>
      <c r="N67" s="8">
        <v>5</v>
      </c>
    </row>
    <row r="68" spans="1:14">
      <c r="A68" s="8">
        <v>10070</v>
      </c>
      <c r="B68" s="8">
        <v>1241</v>
      </c>
      <c r="C68" s="23">
        <v>45112</v>
      </c>
      <c r="D68" s="23">
        <v>45113</v>
      </c>
      <c r="E68" s="8" t="s">
        <v>45</v>
      </c>
      <c r="F68" s="8" t="s">
        <v>40</v>
      </c>
      <c r="G68" s="8" t="s">
        <v>16</v>
      </c>
      <c r="H68" s="8" t="s">
        <v>34</v>
      </c>
      <c r="I68" s="8" t="s">
        <v>30</v>
      </c>
      <c r="J68" s="8" t="s">
        <v>38</v>
      </c>
      <c r="K68" s="8" t="s">
        <v>32</v>
      </c>
      <c r="L68" s="8">
        <v>4</v>
      </c>
      <c r="M68" s="8">
        <v>3612.15</v>
      </c>
      <c r="N68" s="8">
        <v>20</v>
      </c>
    </row>
    <row r="69" spans="1:14">
      <c r="A69" s="8">
        <v>10071</v>
      </c>
      <c r="B69" s="8">
        <v>1776</v>
      </c>
      <c r="C69" s="23">
        <v>45070</v>
      </c>
      <c r="D69" s="23">
        <v>45078</v>
      </c>
      <c r="E69" s="8" t="s">
        <v>14</v>
      </c>
      <c r="F69" s="8" t="s">
        <v>28</v>
      </c>
      <c r="G69" s="8" t="s">
        <v>16</v>
      </c>
      <c r="H69" s="8" t="s">
        <v>17</v>
      </c>
      <c r="I69" s="8" t="s">
        <v>25</v>
      </c>
      <c r="J69" s="8" t="s">
        <v>60</v>
      </c>
      <c r="K69" s="8" t="s">
        <v>46</v>
      </c>
      <c r="L69" s="8">
        <v>3</v>
      </c>
      <c r="M69" s="8">
        <v>3854.71</v>
      </c>
      <c r="N69" s="8">
        <v>5</v>
      </c>
    </row>
    <row r="70" spans="1:14">
      <c r="A70" s="8">
        <v>10072</v>
      </c>
      <c r="B70" s="8">
        <v>1345</v>
      </c>
      <c r="C70" s="23">
        <v>44998</v>
      </c>
      <c r="D70" s="23">
        <v>45005</v>
      </c>
      <c r="E70" s="8" t="s">
        <v>15</v>
      </c>
      <c r="F70" s="8" t="s">
        <v>53</v>
      </c>
      <c r="G70" s="8" t="s">
        <v>16</v>
      </c>
      <c r="H70" s="8" t="s">
        <v>17</v>
      </c>
      <c r="I70" s="8" t="s">
        <v>18</v>
      </c>
      <c r="J70" s="8" t="s">
        <v>54</v>
      </c>
      <c r="K70" s="8" t="s">
        <v>46</v>
      </c>
      <c r="L70" s="8">
        <v>3</v>
      </c>
      <c r="M70" s="8">
        <v>1859.84</v>
      </c>
      <c r="N70" s="8">
        <v>15</v>
      </c>
    </row>
    <row r="71" spans="1:14">
      <c r="A71" s="8">
        <v>10073</v>
      </c>
      <c r="B71" s="8">
        <v>1564</v>
      </c>
      <c r="C71" s="23">
        <v>45055</v>
      </c>
      <c r="D71" s="23">
        <v>45063</v>
      </c>
      <c r="E71" s="8" t="s">
        <v>39</v>
      </c>
      <c r="F71" s="8" t="s">
        <v>15</v>
      </c>
      <c r="G71" s="8" t="s">
        <v>16</v>
      </c>
      <c r="H71" s="8" t="s">
        <v>24</v>
      </c>
      <c r="I71" s="8" t="s">
        <v>48</v>
      </c>
      <c r="J71" s="8" t="s">
        <v>66</v>
      </c>
      <c r="K71" s="8" t="s">
        <v>20</v>
      </c>
      <c r="L71" s="8">
        <v>1</v>
      </c>
      <c r="M71" s="8">
        <v>3037.61</v>
      </c>
      <c r="N71" s="8">
        <v>5</v>
      </c>
    </row>
    <row r="72" spans="1:14">
      <c r="A72" s="8">
        <v>10074</v>
      </c>
      <c r="B72" s="8">
        <v>1897</v>
      </c>
      <c r="C72" s="23">
        <v>45290</v>
      </c>
      <c r="D72" s="23">
        <v>45296</v>
      </c>
      <c r="E72" s="8" t="s">
        <v>15</v>
      </c>
      <c r="F72" s="8" t="s">
        <v>53</v>
      </c>
      <c r="G72" s="8" t="s">
        <v>29</v>
      </c>
      <c r="H72" s="8" t="s">
        <v>34</v>
      </c>
      <c r="I72" s="8" t="s">
        <v>18</v>
      </c>
      <c r="J72" s="8" t="s">
        <v>42</v>
      </c>
      <c r="K72" s="8" t="s">
        <v>32</v>
      </c>
      <c r="L72" s="8">
        <v>3</v>
      </c>
      <c r="M72" s="8">
        <v>2196.89</v>
      </c>
      <c r="N72" s="8">
        <v>0</v>
      </c>
    </row>
    <row r="73" spans="1:14">
      <c r="A73" s="8">
        <v>10075</v>
      </c>
      <c r="B73" s="8">
        <v>1339</v>
      </c>
      <c r="C73" s="23">
        <v>45187</v>
      </c>
      <c r="D73" s="23">
        <v>45196</v>
      </c>
      <c r="E73" s="8" t="s">
        <v>39</v>
      </c>
      <c r="F73" s="8" t="s">
        <v>15</v>
      </c>
      <c r="G73" s="8" t="s">
        <v>29</v>
      </c>
      <c r="H73" s="8" t="s">
        <v>41</v>
      </c>
      <c r="I73" s="8" t="s">
        <v>56</v>
      </c>
      <c r="J73" s="8" t="s">
        <v>57</v>
      </c>
      <c r="K73" s="8" t="s">
        <v>44</v>
      </c>
      <c r="L73" s="8">
        <v>4</v>
      </c>
      <c r="M73" s="8">
        <v>2220.46</v>
      </c>
      <c r="N73" s="8">
        <v>0</v>
      </c>
    </row>
    <row r="74" spans="1:14">
      <c r="A74" s="8">
        <v>10076</v>
      </c>
      <c r="B74" s="8">
        <v>1091</v>
      </c>
      <c r="C74" s="23">
        <v>44929</v>
      </c>
      <c r="D74" s="23">
        <v>44932</v>
      </c>
      <c r="E74" s="8" t="s">
        <v>21</v>
      </c>
      <c r="F74" s="8" t="s">
        <v>15</v>
      </c>
      <c r="G74" s="8" t="s">
        <v>29</v>
      </c>
      <c r="H74" s="8" t="s">
        <v>34</v>
      </c>
      <c r="I74" s="8" t="s">
        <v>30</v>
      </c>
      <c r="J74" s="8" t="s">
        <v>38</v>
      </c>
      <c r="K74" s="8" t="s">
        <v>32</v>
      </c>
      <c r="L74" s="8">
        <v>5</v>
      </c>
      <c r="M74" s="8">
        <v>1220.68</v>
      </c>
      <c r="N74" s="8">
        <v>20</v>
      </c>
    </row>
    <row r="75" spans="1:14">
      <c r="A75" s="8">
        <v>10077</v>
      </c>
      <c r="B75" s="8">
        <v>1366</v>
      </c>
      <c r="C75" s="23">
        <v>45030</v>
      </c>
      <c r="D75" s="23">
        <v>45034</v>
      </c>
      <c r="E75" s="8" t="s">
        <v>21</v>
      </c>
      <c r="F75" s="8" t="s">
        <v>53</v>
      </c>
      <c r="G75" s="8" t="s">
        <v>29</v>
      </c>
      <c r="H75" s="8" t="s">
        <v>24</v>
      </c>
      <c r="I75" s="8" t="s">
        <v>30</v>
      </c>
      <c r="J75" s="8" t="s">
        <v>31</v>
      </c>
      <c r="K75" s="8" t="s">
        <v>44</v>
      </c>
      <c r="L75" s="8">
        <v>3</v>
      </c>
      <c r="M75" s="8">
        <v>985.28</v>
      </c>
      <c r="N75" s="8">
        <v>10</v>
      </c>
    </row>
    <row r="76" spans="1:14">
      <c r="A76" s="8">
        <v>10079</v>
      </c>
      <c r="B76" s="8">
        <v>1454</v>
      </c>
      <c r="C76" s="23">
        <v>45246</v>
      </c>
      <c r="D76" s="23">
        <v>45254</v>
      </c>
      <c r="E76" s="8" t="s">
        <v>33</v>
      </c>
      <c r="F76" s="8" t="s">
        <v>15</v>
      </c>
      <c r="G76" s="8" t="s">
        <v>29</v>
      </c>
      <c r="H76" s="8" t="s">
        <v>34</v>
      </c>
      <c r="I76" s="8" t="s">
        <v>30</v>
      </c>
      <c r="J76" s="8" t="s">
        <v>31</v>
      </c>
      <c r="K76" s="8" t="s">
        <v>32</v>
      </c>
      <c r="L76" s="8">
        <v>5</v>
      </c>
      <c r="M76" s="8">
        <v>2291.86</v>
      </c>
      <c r="N76" s="8">
        <v>15</v>
      </c>
    </row>
    <row r="77" spans="1:14">
      <c r="A77" s="8">
        <v>10080</v>
      </c>
      <c r="B77" s="8">
        <v>1427</v>
      </c>
      <c r="C77" s="23">
        <v>45288</v>
      </c>
      <c r="D77" s="23">
        <v>45293</v>
      </c>
      <c r="E77" s="8" t="s">
        <v>14</v>
      </c>
      <c r="F77" s="8" t="s">
        <v>53</v>
      </c>
      <c r="G77" s="8" t="s">
        <v>16</v>
      </c>
      <c r="H77" s="8" t="s">
        <v>24</v>
      </c>
      <c r="I77" s="8" t="s">
        <v>51</v>
      </c>
      <c r="J77" s="8" t="s">
        <v>55</v>
      </c>
      <c r="K77" s="8" t="s">
        <v>27</v>
      </c>
      <c r="L77" s="8">
        <v>3</v>
      </c>
      <c r="M77" s="8">
        <v>262.25</v>
      </c>
      <c r="N77" s="8">
        <v>10</v>
      </c>
    </row>
    <row r="78" spans="1:14">
      <c r="A78" s="8">
        <v>10081</v>
      </c>
      <c r="B78" s="8">
        <v>1508</v>
      </c>
      <c r="C78" s="23">
        <v>45280</v>
      </c>
      <c r="D78" s="23">
        <v>45283</v>
      </c>
      <c r="E78" s="8" t="s">
        <v>45</v>
      </c>
      <c r="F78" s="8" t="s">
        <v>15</v>
      </c>
      <c r="G78" s="8" t="s">
        <v>29</v>
      </c>
      <c r="H78" s="8" t="s">
        <v>17</v>
      </c>
      <c r="I78" s="8" t="s">
        <v>25</v>
      </c>
      <c r="J78" s="8" t="s">
        <v>26</v>
      </c>
      <c r="K78" s="8" t="s">
        <v>46</v>
      </c>
      <c r="L78" s="8">
        <v>6</v>
      </c>
      <c r="M78" s="8">
        <v>3642.91</v>
      </c>
      <c r="N78" s="8">
        <v>0</v>
      </c>
    </row>
    <row r="79" spans="1:14">
      <c r="A79" s="8">
        <v>10082</v>
      </c>
      <c r="B79" s="8">
        <v>1775</v>
      </c>
      <c r="C79" s="23">
        <v>44936</v>
      </c>
      <c r="D79" s="23">
        <v>44942</v>
      </c>
      <c r="E79" s="8" t="s">
        <v>45</v>
      </c>
      <c r="F79" s="8" t="s">
        <v>37</v>
      </c>
      <c r="G79" s="8" t="s">
        <v>23</v>
      </c>
      <c r="H79" s="8" t="s">
        <v>41</v>
      </c>
      <c r="I79" s="8" t="s">
        <v>48</v>
      </c>
      <c r="J79" s="8" t="s">
        <v>62</v>
      </c>
      <c r="K79" s="8" t="s">
        <v>46</v>
      </c>
      <c r="L79" s="8">
        <v>6</v>
      </c>
      <c r="M79" s="8">
        <v>751.69</v>
      </c>
      <c r="N79" s="8">
        <v>0</v>
      </c>
    </row>
    <row r="80" spans="1:14">
      <c r="A80" s="8">
        <v>10083</v>
      </c>
      <c r="B80" s="8">
        <v>1942</v>
      </c>
      <c r="C80" s="23">
        <v>45228</v>
      </c>
      <c r="D80" s="23">
        <v>45232</v>
      </c>
      <c r="E80" s="8" t="s">
        <v>36</v>
      </c>
      <c r="F80" s="8" t="s">
        <v>22</v>
      </c>
      <c r="G80" s="8" t="s">
        <v>16</v>
      </c>
      <c r="H80" s="8" t="s">
        <v>24</v>
      </c>
      <c r="I80" s="8" t="s">
        <v>56</v>
      </c>
      <c r="J80" s="8" t="s">
        <v>61</v>
      </c>
      <c r="K80" s="8" t="s">
        <v>20</v>
      </c>
      <c r="L80" s="8">
        <v>8</v>
      </c>
      <c r="M80" s="8">
        <v>997.34</v>
      </c>
      <c r="N80" s="8">
        <v>5</v>
      </c>
    </row>
    <row r="81" spans="1:14">
      <c r="A81" s="8">
        <v>10084</v>
      </c>
      <c r="B81" s="8">
        <v>1034</v>
      </c>
      <c r="C81" s="23">
        <v>45157</v>
      </c>
      <c r="D81" s="23">
        <v>45166</v>
      </c>
      <c r="E81" s="8" t="s">
        <v>39</v>
      </c>
      <c r="F81" s="8" t="s">
        <v>28</v>
      </c>
      <c r="G81" s="8" t="s">
        <v>29</v>
      </c>
      <c r="H81" s="8" t="s">
        <v>43</v>
      </c>
      <c r="I81" s="8" t="s">
        <v>51</v>
      </c>
      <c r="J81" s="8" t="s">
        <v>55</v>
      </c>
      <c r="K81" s="8" t="s">
        <v>32</v>
      </c>
      <c r="L81" s="8">
        <v>2</v>
      </c>
      <c r="M81" s="8">
        <v>2145.36</v>
      </c>
      <c r="N81" s="8">
        <v>20</v>
      </c>
    </row>
    <row r="82" spans="1:14">
      <c r="A82" s="8">
        <v>10085</v>
      </c>
      <c r="B82" s="8">
        <v>1205</v>
      </c>
      <c r="C82" s="23">
        <v>45145</v>
      </c>
      <c r="D82" s="23">
        <v>45148</v>
      </c>
      <c r="E82" s="8" t="s">
        <v>45</v>
      </c>
      <c r="F82" s="8" t="s">
        <v>15</v>
      </c>
      <c r="G82" s="8" t="s">
        <v>29</v>
      </c>
      <c r="H82" s="8" t="s">
        <v>17</v>
      </c>
      <c r="I82" s="8" t="s">
        <v>48</v>
      </c>
      <c r="J82" s="8" t="s">
        <v>49</v>
      </c>
      <c r="K82" s="8" t="s">
        <v>27</v>
      </c>
      <c r="L82" s="8">
        <v>1</v>
      </c>
      <c r="M82" s="8">
        <v>2883.94</v>
      </c>
      <c r="N82" s="8">
        <v>20</v>
      </c>
    </row>
    <row r="83" spans="1:14">
      <c r="A83" s="8">
        <v>10086</v>
      </c>
      <c r="B83" s="8">
        <v>1080</v>
      </c>
      <c r="C83" s="23">
        <v>44992</v>
      </c>
      <c r="D83" s="23">
        <v>44996</v>
      </c>
      <c r="E83" s="8" t="s">
        <v>33</v>
      </c>
      <c r="F83" s="8" t="s">
        <v>37</v>
      </c>
      <c r="G83" s="8" t="s">
        <v>29</v>
      </c>
      <c r="H83" s="8" t="s">
        <v>43</v>
      </c>
      <c r="I83" s="8" t="s">
        <v>30</v>
      </c>
      <c r="J83" s="8" t="s">
        <v>64</v>
      </c>
      <c r="K83" s="8" t="s">
        <v>44</v>
      </c>
      <c r="L83" s="8">
        <v>4</v>
      </c>
      <c r="M83" s="8">
        <v>518.55999999999995</v>
      </c>
      <c r="N83" s="8">
        <v>20</v>
      </c>
    </row>
    <row r="84" spans="1:14">
      <c r="A84" s="8">
        <v>10087</v>
      </c>
      <c r="B84" s="8">
        <v>1931</v>
      </c>
      <c r="C84" s="23">
        <v>45038</v>
      </c>
      <c r="D84" s="23">
        <v>45045</v>
      </c>
      <c r="E84" s="8" t="s">
        <v>39</v>
      </c>
      <c r="F84" s="8" t="s">
        <v>28</v>
      </c>
      <c r="G84" s="8" t="s">
        <v>16</v>
      </c>
      <c r="H84" s="8" t="s">
        <v>17</v>
      </c>
      <c r="I84" s="8" t="s">
        <v>30</v>
      </c>
      <c r="J84" s="8" t="s">
        <v>38</v>
      </c>
      <c r="K84" s="8" t="s">
        <v>46</v>
      </c>
      <c r="L84" s="8">
        <v>7</v>
      </c>
      <c r="M84" s="8">
        <v>1373.12</v>
      </c>
      <c r="N84" s="8">
        <v>5</v>
      </c>
    </row>
    <row r="85" spans="1:14">
      <c r="A85" s="8">
        <v>10088</v>
      </c>
      <c r="B85" s="8">
        <v>1561</v>
      </c>
      <c r="C85" s="23">
        <v>44939</v>
      </c>
      <c r="D85" s="23">
        <v>44946</v>
      </c>
      <c r="E85" s="8" t="s">
        <v>33</v>
      </c>
      <c r="F85" s="8" t="s">
        <v>28</v>
      </c>
      <c r="G85" s="8" t="s">
        <v>16</v>
      </c>
      <c r="H85" s="8" t="s">
        <v>41</v>
      </c>
      <c r="I85" s="8" t="s">
        <v>48</v>
      </c>
      <c r="J85" s="8" t="s">
        <v>62</v>
      </c>
      <c r="K85" s="8" t="s">
        <v>46</v>
      </c>
      <c r="L85" s="8">
        <v>3</v>
      </c>
      <c r="M85" s="8">
        <v>3879.4</v>
      </c>
      <c r="N85" s="8">
        <v>20</v>
      </c>
    </row>
    <row r="86" spans="1:14">
      <c r="A86" s="8">
        <v>10091</v>
      </c>
      <c r="B86" s="8">
        <v>1001</v>
      </c>
      <c r="C86" s="23">
        <v>45016</v>
      </c>
      <c r="D86" s="23">
        <v>45019</v>
      </c>
      <c r="E86" s="8" t="s">
        <v>36</v>
      </c>
      <c r="F86" s="8" t="s">
        <v>15</v>
      </c>
      <c r="G86" s="8" t="s">
        <v>16</v>
      </c>
      <c r="H86" s="8" t="s">
        <v>43</v>
      </c>
      <c r="I86" s="8" t="s">
        <v>25</v>
      </c>
      <c r="J86" s="8" t="s">
        <v>26</v>
      </c>
      <c r="K86" s="8" t="s">
        <v>27</v>
      </c>
      <c r="L86" s="8">
        <v>5</v>
      </c>
      <c r="M86" s="8">
        <v>3370.52</v>
      </c>
      <c r="N86" s="8">
        <v>10</v>
      </c>
    </row>
    <row r="87" spans="1:14">
      <c r="A87" s="8">
        <v>10092</v>
      </c>
      <c r="B87" s="8">
        <v>1389</v>
      </c>
      <c r="C87" s="23">
        <v>45240</v>
      </c>
      <c r="D87" s="23">
        <v>45246</v>
      </c>
      <c r="E87" s="8" t="s">
        <v>45</v>
      </c>
      <c r="F87" s="8" t="s">
        <v>37</v>
      </c>
      <c r="G87" s="8" t="s">
        <v>29</v>
      </c>
      <c r="H87" s="8" t="s">
        <v>17</v>
      </c>
      <c r="I87" s="8" t="s">
        <v>48</v>
      </c>
      <c r="J87" s="8" t="s">
        <v>49</v>
      </c>
      <c r="K87" s="8" t="s">
        <v>32</v>
      </c>
      <c r="L87" s="8">
        <v>3</v>
      </c>
      <c r="M87" s="8">
        <v>343.33</v>
      </c>
      <c r="N87" s="8">
        <v>5</v>
      </c>
    </row>
    <row r="88" spans="1:14">
      <c r="A88" s="8">
        <v>10093</v>
      </c>
      <c r="B88" s="8">
        <v>1565</v>
      </c>
      <c r="C88" s="23">
        <v>44980</v>
      </c>
      <c r="D88" s="23">
        <v>44982</v>
      </c>
      <c r="E88" s="8" t="s">
        <v>39</v>
      </c>
      <c r="F88" s="8" t="s">
        <v>28</v>
      </c>
      <c r="G88" s="8" t="s">
        <v>16</v>
      </c>
      <c r="H88" s="8" t="s">
        <v>41</v>
      </c>
      <c r="I88" s="8" t="s">
        <v>51</v>
      </c>
      <c r="J88" s="8" t="s">
        <v>55</v>
      </c>
      <c r="K88" s="8" t="s">
        <v>32</v>
      </c>
      <c r="L88" s="8">
        <v>9</v>
      </c>
      <c r="M88" s="8">
        <v>1938.76</v>
      </c>
      <c r="N88" s="8">
        <v>20</v>
      </c>
    </row>
    <row r="89" spans="1:14">
      <c r="A89" s="8">
        <v>10094</v>
      </c>
      <c r="B89" s="8">
        <v>1105</v>
      </c>
      <c r="C89" s="23">
        <v>44938</v>
      </c>
      <c r="D89" s="23">
        <v>44946</v>
      </c>
      <c r="E89" s="8" t="s">
        <v>21</v>
      </c>
      <c r="F89" s="8" t="s">
        <v>15</v>
      </c>
      <c r="G89" s="8" t="s">
        <v>29</v>
      </c>
      <c r="H89" s="8" t="s">
        <v>24</v>
      </c>
      <c r="I89" s="8" t="s">
        <v>51</v>
      </c>
      <c r="J89" s="8" t="s">
        <v>59</v>
      </c>
      <c r="K89" s="8" t="s">
        <v>20</v>
      </c>
      <c r="L89" s="8">
        <v>4</v>
      </c>
      <c r="M89" s="8">
        <v>1611.52</v>
      </c>
      <c r="N89" s="8">
        <v>10</v>
      </c>
    </row>
    <row r="90" spans="1:14">
      <c r="A90" s="8">
        <v>10095</v>
      </c>
      <c r="B90" s="8">
        <v>1771</v>
      </c>
      <c r="C90" s="23">
        <v>45135</v>
      </c>
      <c r="D90" s="23">
        <v>45137</v>
      </c>
      <c r="E90" s="8" t="s">
        <v>39</v>
      </c>
      <c r="F90" s="8" t="s">
        <v>53</v>
      </c>
      <c r="G90" s="8" t="s">
        <v>29</v>
      </c>
      <c r="H90" s="8" t="s">
        <v>41</v>
      </c>
      <c r="I90" s="8" t="s">
        <v>48</v>
      </c>
      <c r="J90" s="8" t="s">
        <v>49</v>
      </c>
      <c r="K90" s="8" t="s">
        <v>46</v>
      </c>
      <c r="L90" s="8">
        <v>3</v>
      </c>
      <c r="M90" s="8">
        <v>1368.86</v>
      </c>
      <c r="N90" s="8">
        <v>10</v>
      </c>
    </row>
    <row r="91" spans="1:14">
      <c r="A91" s="8">
        <v>10096</v>
      </c>
      <c r="B91" s="8">
        <v>1821</v>
      </c>
      <c r="C91" s="23">
        <v>44940</v>
      </c>
      <c r="D91" s="23">
        <v>44947</v>
      </c>
      <c r="E91" s="8" t="s">
        <v>39</v>
      </c>
      <c r="F91" s="8" t="s">
        <v>15</v>
      </c>
      <c r="G91" s="8" t="s">
        <v>16</v>
      </c>
      <c r="H91" s="8" t="s">
        <v>24</v>
      </c>
      <c r="I91" s="8" t="s">
        <v>51</v>
      </c>
      <c r="J91" s="8" t="s">
        <v>59</v>
      </c>
      <c r="K91" s="8" t="s">
        <v>32</v>
      </c>
      <c r="L91" s="8">
        <v>2</v>
      </c>
      <c r="M91" s="8">
        <v>1249.94</v>
      </c>
      <c r="N91" s="8">
        <v>10</v>
      </c>
    </row>
    <row r="92" spans="1:14">
      <c r="A92" s="8">
        <v>10097</v>
      </c>
      <c r="B92" s="8">
        <v>1476</v>
      </c>
      <c r="C92" s="23">
        <v>45047</v>
      </c>
      <c r="D92" s="23">
        <v>45056</v>
      </c>
      <c r="E92" s="8" t="s">
        <v>36</v>
      </c>
      <c r="F92" s="8" t="s">
        <v>22</v>
      </c>
      <c r="G92" s="8" t="s">
        <v>23</v>
      </c>
      <c r="H92" s="8" t="s">
        <v>17</v>
      </c>
      <c r="I92" s="8" t="s">
        <v>51</v>
      </c>
      <c r="J92" s="8" t="s">
        <v>59</v>
      </c>
      <c r="K92" s="8" t="s">
        <v>27</v>
      </c>
      <c r="L92" s="8">
        <v>9</v>
      </c>
      <c r="M92" s="8">
        <v>501.79</v>
      </c>
      <c r="N92" s="8">
        <v>5</v>
      </c>
    </row>
    <row r="93" spans="1:14">
      <c r="A93" s="8">
        <v>10098</v>
      </c>
      <c r="B93" s="8">
        <v>1702</v>
      </c>
      <c r="C93" s="23">
        <v>44946</v>
      </c>
      <c r="D93" s="23">
        <v>44947</v>
      </c>
      <c r="E93" s="8" t="s">
        <v>36</v>
      </c>
      <c r="F93" s="8" t="s">
        <v>53</v>
      </c>
      <c r="G93" s="8" t="s">
        <v>23</v>
      </c>
      <c r="H93" s="8" t="s">
        <v>41</v>
      </c>
      <c r="I93" s="8" t="s">
        <v>25</v>
      </c>
      <c r="J93" s="8" t="s">
        <v>35</v>
      </c>
      <c r="K93" s="8" t="s">
        <v>44</v>
      </c>
      <c r="L93" s="8">
        <v>4</v>
      </c>
      <c r="M93" s="8">
        <v>1362.08</v>
      </c>
      <c r="N93" s="8">
        <v>15</v>
      </c>
    </row>
    <row r="94" spans="1:14">
      <c r="A94" s="8">
        <v>10099</v>
      </c>
      <c r="B94" s="8">
        <v>1401</v>
      </c>
      <c r="C94" s="23">
        <v>45001</v>
      </c>
      <c r="D94" s="23">
        <v>45009</v>
      </c>
      <c r="E94" s="8" t="s">
        <v>45</v>
      </c>
      <c r="F94" s="8" t="s">
        <v>37</v>
      </c>
      <c r="G94" s="8" t="s">
        <v>16</v>
      </c>
      <c r="H94" s="8" t="s">
        <v>41</v>
      </c>
      <c r="I94" s="8" t="s">
        <v>51</v>
      </c>
      <c r="J94" s="8" t="s">
        <v>52</v>
      </c>
      <c r="K94" s="8" t="s">
        <v>27</v>
      </c>
      <c r="L94" s="8">
        <v>3</v>
      </c>
      <c r="M94" s="8">
        <v>315.75</v>
      </c>
      <c r="N94" s="8">
        <v>20</v>
      </c>
    </row>
    <row r="95" spans="1:14">
      <c r="A95" s="8">
        <v>10100</v>
      </c>
      <c r="B95" s="8">
        <v>1729</v>
      </c>
      <c r="C95" s="23">
        <v>45169</v>
      </c>
      <c r="D95" s="23">
        <v>45176</v>
      </c>
      <c r="E95" s="8" t="s">
        <v>15</v>
      </c>
      <c r="F95" s="8" t="s">
        <v>28</v>
      </c>
      <c r="G95" s="8" t="s">
        <v>23</v>
      </c>
      <c r="H95" s="8" t="s">
        <v>17</v>
      </c>
      <c r="I95" s="8" t="s">
        <v>18</v>
      </c>
      <c r="J95" s="8" t="s">
        <v>42</v>
      </c>
      <c r="K95" s="8" t="s">
        <v>46</v>
      </c>
      <c r="L95" s="8">
        <v>7</v>
      </c>
      <c r="M95" s="8">
        <v>3156.71</v>
      </c>
      <c r="N95" s="8">
        <v>10</v>
      </c>
    </row>
    <row r="96" spans="1:14">
      <c r="A96" s="8">
        <v>10101</v>
      </c>
      <c r="B96" s="8">
        <v>1555</v>
      </c>
      <c r="C96" s="23">
        <v>45149</v>
      </c>
      <c r="D96" s="23">
        <v>45155</v>
      </c>
      <c r="E96" s="8" t="s">
        <v>15</v>
      </c>
      <c r="F96" s="8" t="s">
        <v>15</v>
      </c>
      <c r="G96" s="8" t="s">
        <v>29</v>
      </c>
      <c r="H96" s="8" t="s">
        <v>41</v>
      </c>
      <c r="I96" s="8" t="s">
        <v>56</v>
      </c>
      <c r="J96" s="8" t="s">
        <v>58</v>
      </c>
      <c r="K96" s="8" t="s">
        <v>27</v>
      </c>
      <c r="L96" s="8">
        <v>8</v>
      </c>
      <c r="M96" s="8">
        <v>1683.18</v>
      </c>
      <c r="N96" s="8">
        <v>15</v>
      </c>
    </row>
    <row r="97" spans="1:14">
      <c r="A97" s="8">
        <v>10102</v>
      </c>
      <c r="B97" s="8">
        <v>1161</v>
      </c>
      <c r="C97" s="23">
        <v>44996</v>
      </c>
      <c r="D97" s="23">
        <v>45002</v>
      </c>
      <c r="E97" s="8" t="s">
        <v>36</v>
      </c>
      <c r="F97" s="8" t="s">
        <v>53</v>
      </c>
      <c r="G97" s="8" t="s">
        <v>29</v>
      </c>
      <c r="H97" s="8" t="s">
        <v>24</v>
      </c>
      <c r="I97" s="8" t="s">
        <v>30</v>
      </c>
      <c r="J97" s="8" t="s">
        <v>38</v>
      </c>
      <c r="K97" s="8" t="s">
        <v>20</v>
      </c>
      <c r="L97" s="8">
        <v>2</v>
      </c>
      <c r="M97" s="8">
        <v>1859.03</v>
      </c>
      <c r="N97" s="8">
        <v>20</v>
      </c>
    </row>
    <row r="98" spans="1:14">
      <c r="A98" s="8">
        <v>10103</v>
      </c>
      <c r="B98" s="8">
        <v>1201</v>
      </c>
      <c r="C98" s="23">
        <v>45238</v>
      </c>
      <c r="D98" s="23">
        <v>45244</v>
      </c>
      <c r="E98" s="8" t="s">
        <v>45</v>
      </c>
      <c r="F98" s="8" t="s">
        <v>22</v>
      </c>
      <c r="G98" s="8" t="s">
        <v>16</v>
      </c>
      <c r="H98" s="8" t="s">
        <v>41</v>
      </c>
      <c r="I98" s="8" t="s">
        <v>18</v>
      </c>
      <c r="J98" s="8" t="s">
        <v>19</v>
      </c>
      <c r="K98" s="8" t="s">
        <v>46</v>
      </c>
      <c r="L98" s="8">
        <v>7</v>
      </c>
      <c r="M98" s="8">
        <v>3590.34</v>
      </c>
      <c r="N98" s="8">
        <v>20</v>
      </c>
    </row>
    <row r="99" spans="1:14">
      <c r="A99" s="8">
        <v>10105</v>
      </c>
      <c r="B99" s="8">
        <v>1995</v>
      </c>
      <c r="C99" s="23">
        <v>45027</v>
      </c>
      <c r="D99" s="23">
        <v>45029</v>
      </c>
      <c r="E99" s="8" t="s">
        <v>45</v>
      </c>
      <c r="F99" s="8" t="s">
        <v>40</v>
      </c>
      <c r="G99" s="8" t="s">
        <v>23</v>
      </c>
      <c r="H99" s="8" t="s">
        <v>34</v>
      </c>
      <c r="I99" s="8" t="s">
        <v>25</v>
      </c>
      <c r="J99" s="8" t="s">
        <v>26</v>
      </c>
      <c r="K99" s="8" t="s">
        <v>20</v>
      </c>
      <c r="L99" s="8">
        <v>5</v>
      </c>
      <c r="M99" s="8">
        <v>181.03</v>
      </c>
      <c r="N99" s="8">
        <v>10</v>
      </c>
    </row>
    <row r="100" spans="1:14">
      <c r="A100" s="8">
        <v>10106</v>
      </c>
      <c r="B100" s="8">
        <v>1269</v>
      </c>
      <c r="C100" s="23">
        <v>45112</v>
      </c>
      <c r="D100" s="23">
        <v>45113</v>
      </c>
      <c r="E100" s="8" t="s">
        <v>45</v>
      </c>
      <c r="F100" s="8" t="s">
        <v>22</v>
      </c>
      <c r="G100" s="8" t="s">
        <v>29</v>
      </c>
      <c r="H100" s="8" t="s">
        <v>24</v>
      </c>
      <c r="I100" s="8" t="s">
        <v>48</v>
      </c>
      <c r="J100" s="8" t="s">
        <v>62</v>
      </c>
      <c r="K100" s="8" t="s">
        <v>46</v>
      </c>
      <c r="L100" s="8">
        <v>3</v>
      </c>
      <c r="M100" s="8">
        <v>3781.22</v>
      </c>
      <c r="N100" s="8">
        <v>5</v>
      </c>
    </row>
    <row r="101" spans="1:14">
      <c r="A101" s="8">
        <v>10107</v>
      </c>
      <c r="B101" s="8">
        <v>1862</v>
      </c>
      <c r="C101" s="23">
        <v>45058</v>
      </c>
      <c r="D101" s="23">
        <v>45064</v>
      </c>
      <c r="E101" s="8" t="s">
        <v>45</v>
      </c>
      <c r="F101" s="8" t="s">
        <v>37</v>
      </c>
      <c r="G101" s="8" t="s">
        <v>16</v>
      </c>
      <c r="H101" s="8" t="s">
        <v>43</v>
      </c>
      <c r="I101" s="8" t="s">
        <v>51</v>
      </c>
      <c r="J101" s="8" t="s">
        <v>59</v>
      </c>
      <c r="K101" s="8" t="s">
        <v>44</v>
      </c>
      <c r="L101" s="8">
        <v>5</v>
      </c>
      <c r="M101" s="8">
        <v>1063.01</v>
      </c>
      <c r="N101" s="8">
        <v>15</v>
      </c>
    </row>
    <row r="102" spans="1:14">
      <c r="A102" s="8">
        <v>10108</v>
      </c>
      <c r="B102" s="8">
        <v>1815</v>
      </c>
      <c r="C102" s="23">
        <v>45037</v>
      </c>
      <c r="D102" s="23">
        <v>45045</v>
      </c>
      <c r="E102" s="8" t="s">
        <v>14</v>
      </c>
      <c r="F102" s="8" t="s">
        <v>28</v>
      </c>
      <c r="G102" s="8" t="s">
        <v>23</v>
      </c>
      <c r="H102" s="8" t="s">
        <v>17</v>
      </c>
      <c r="I102" s="8" t="s">
        <v>25</v>
      </c>
      <c r="J102" s="8" t="s">
        <v>35</v>
      </c>
      <c r="K102" s="8" t="s">
        <v>20</v>
      </c>
      <c r="L102" s="8">
        <v>2</v>
      </c>
      <c r="M102" s="8">
        <v>564.30999999999995</v>
      </c>
      <c r="N102" s="8">
        <v>15</v>
      </c>
    </row>
    <row r="103" spans="1:14">
      <c r="A103" s="8">
        <v>10110</v>
      </c>
      <c r="B103" s="8">
        <v>1455</v>
      </c>
      <c r="C103" s="23">
        <v>44946</v>
      </c>
      <c r="D103" s="23">
        <v>44947</v>
      </c>
      <c r="E103" s="8" t="s">
        <v>45</v>
      </c>
      <c r="F103" s="8" t="s">
        <v>15</v>
      </c>
      <c r="G103" s="8" t="s">
        <v>23</v>
      </c>
      <c r="H103" s="8" t="s">
        <v>34</v>
      </c>
      <c r="I103" s="8" t="s">
        <v>51</v>
      </c>
      <c r="J103" s="8" t="s">
        <v>55</v>
      </c>
      <c r="K103" s="8" t="s">
        <v>46</v>
      </c>
      <c r="L103" s="8">
        <v>6</v>
      </c>
      <c r="M103" s="8">
        <v>2076.84</v>
      </c>
      <c r="N103" s="8">
        <v>20</v>
      </c>
    </row>
    <row r="104" spans="1:14">
      <c r="A104" s="8">
        <v>10111</v>
      </c>
      <c r="B104" s="8">
        <v>1461</v>
      </c>
      <c r="C104" s="23">
        <v>44950</v>
      </c>
      <c r="D104" s="23">
        <v>44959</v>
      </c>
      <c r="E104" s="8" t="s">
        <v>14</v>
      </c>
      <c r="F104" s="8" t="s">
        <v>53</v>
      </c>
      <c r="G104" s="8" t="s">
        <v>29</v>
      </c>
      <c r="H104" s="8" t="s">
        <v>34</v>
      </c>
      <c r="I104" s="8" t="s">
        <v>48</v>
      </c>
      <c r="J104" s="8" t="s">
        <v>66</v>
      </c>
      <c r="K104" s="8" t="s">
        <v>32</v>
      </c>
      <c r="L104" s="8">
        <v>1</v>
      </c>
      <c r="M104" s="8">
        <v>1820.02</v>
      </c>
      <c r="N104" s="8">
        <v>10</v>
      </c>
    </row>
    <row r="105" spans="1:14">
      <c r="A105" s="8">
        <v>10112</v>
      </c>
      <c r="B105" s="8">
        <v>1726</v>
      </c>
      <c r="C105" s="23">
        <v>45153</v>
      </c>
      <c r="D105" s="23">
        <v>45154</v>
      </c>
      <c r="E105" s="8" t="s">
        <v>36</v>
      </c>
      <c r="F105" s="8" t="s">
        <v>40</v>
      </c>
      <c r="G105" s="8" t="s">
        <v>29</v>
      </c>
      <c r="H105" s="8" t="s">
        <v>17</v>
      </c>
      <c r="I105" s="8" t="s">
        <v>25</v>
      </c>
      <c r="J105" s="8" t="s">
        <v>35</v>
      </c>
      <c r="K105" s="8" t="s">
        <v>20</v>
      </c>
      <c r="L105" s="8">
        <v>4</v>
      </c>
      <c r="M105" s="8">
        <v>1110.5899999999999</v>
      </c>
      <c r="N105" s="8">
        <v>20</v>
      </c>
    </row>
    <row r="106" spans="1:14">
      <c r="A106" s="8">
        <v>10113</v>
      </c>
      <c r="B106" s="8">
        <v>1251</v>
      </c>
      <c r="C106" s="23">
        <v>45080</v>
      </c>
      <c r="D106" s="23">
        <v>45083</v>
      </c>
      <c r="E106" s="8" t="s">
        <v>15</v>
      </c>
      <c r="F106" s="8" t="s">
        <v>22</v>
      </c>
      <c r="G106" s="8" t="s">
        <v>16</v>
      </c>
      <c r="H106" s="8" t="s">
        <v>17</v>
      </c>
      <c r="I106" s="8" t="s">
        <v>25</v>
      </c>
      <c r="J106" s="8" t="s">
        <v>60</v>
      </c>
      <c r="K106" s="8" t="s">
        <v>20</v>
      </c>
      <c r="L106" s="8">
        <v>6</v>
      </c>
      <c r="M106" s="8">
        <v>2257.77</v>
      </c>
      <c r="N106" s="8">
        <v>20</v>
      </c>
    </row>
    <row r="107" spans="1:14">
      <c r="A107" s="8">
        <v>10114</v>
      </c>
      <c r="B107" s="8">
        <v>1701</v>
      </c>
      <c r="C107" s="23">
        <v>45219</v>
      </c>
      <c r="D107" s="23">
        <v>45227</v>
      </c>
      <c r="E107" s="8" t="s">
        <v>39</v>
      </c>
      <c r="F107" s="8" t="s">
        <v>22</v>
      </c>
      <c r="G107" s="8" t="s">
        <v>29</v>
      </c>
      <c r="H107" s="8" t="s">
        <v>24</v>
      </c>
      <c r="I107" s="8" t="s">
        <v>25</v>
      </c>
      <c r="J107" s="8" t="s">
        <v>67</v>
      </c>
      <c r="K107" s="8" t="s">
        <v>44</v>
      </c>
      <c r="L107" s="8">
        <v>9</v>
      </c>
      <c r="M107" s="8">
        <v>1206.3800000000001</v>
      </c>
      <c r="N107" s="8">
        <v>10</v>
      </c>
    </row>
    <row r="108" spans="1:14">
      <c r="A108" s="8">
        <v>10115</v>
      </c>
      <c r="B108" s="8">
        <v>1295</v>
      </c>
      <c r="C108" s="23">
        <v>45156</v>
      </c>
      <c r="D108" s="23">
        <v>45159</v>
      </c>
      <c r="E108" s="8" t="s">
        <v>21</v>
      </c>
      <c r="F108" s="8" t="s">
        <v>53</v>
      </c>
      <c r="G108" s="8" t="s">
        <v>23</v>
      </c>
      <c r="H108" s="8" t="s">
        <v>41</v>
      </c>
      <c r="I108" s="8" t="s">
        <v>56</v>
      </c>
      <c r="J108" s="8" t="s">
        <v>61</v>
      </c>
      <c r="K108" s="8" t="s">
        <v>27</v>
      </c>
      <c r="L108" s="8">
        <v>2</v>
      </c>
      <c r="M108" s="8">
        <v>3621.09</v>
      </c>
      <c r="N108" s="8">
        <v>0</v>
      </c>
    </row>
    <row r="109" spans="1:14">
      <c r="A109" s="8">
        <v>10116</v>
      </c>
      <c r="B109" s="8">
        <v>1724</v>
      </c>
      <c r="C109" s="23">
        <v>45236</v>
      </c>
      <c r="D109" s="23">
        <v>45240</v>
      </c>
      <c r="E109" s="8" t="s">
        <v>15</v>
      </c>
      <c r="F109" s="8" t="s">
        <v>40</v>
      </c>
      <c r="G109" s="8" t="s">
        <v>29</v>
      </c>
      <c r="H109" s="8" t="s">
        <v>17</v>
      </c>
      <c r="I109" s="8" t="s">
        <v>51</v>
      </c>
      <c r="J109" s="8" t="s">
        <v>59</v>
      </c>
      <c r="K109" s="8" t="s">
        <v>46</v>
      </c>
      <c r="L109" s="8">
        <v>7</v>
      </c>
      <c r="M109" s="8">
        <v>978.54</v>
      </c>
      <c r="N109" s="8">
        <v>15</v>
      </c>
    </row>
    <row r="110" spans="1:14">
      <c r="A110" s="8">
        <v>10117</v>
      </c>
      <c r="B110" s="8">
        <v>1719</v>
      </c>
      <c r="C110" s="23">
        <v>45285</v>
      </c>
      <c r="D110" s="23">
        <v>45293</v>
      </c>
      <c r="E110" s="8" t="s">
        <v>39</v>
      </c>
      <c r="F110" s="8" t="s">
        <v>53</v>
      </c>
      <c r="G110" s="8" t="s">
        <v>16</v>
      </c>
      <c r="H110" s="8" t="s">
        <v>41</v>
      </c>
      <c r="I110" s="8" t="s">
        <v>56</v>
      </c>
      <c r="J110" s="8" t="s">
        <v>57</v>
      </c>
      <c r="K110" s="8" t="s">
        <v>46</v>
      </c>
      <c r="L110" s="8">
        <v>6</v>
      </c>
      <c r="M110" s="8">
        <v>3554.77</v>
      </c>
      <c r="N110" s="8">
        <v>20</v>
      </c>
    </row>
    <row r="111" spans="1:14">
      <c r="A111" s="8">
        <v>10118</v>
      </c>
      <c r="B111" s="8">
        <v>1748</v>
      </c>
      <c r="C111" s="23">
        <v>45128</v>
      </c>
      <c r="D111" s="23">
        <v>45129</v>
      </c>
      <c r="E111" s="8" t="s">
        <v>21</v>
      </c>
      <c r="F111" s="8" t="s">
        <v>15</v>
      </c>
      <c r="G111" s="8" t="s">
        <v>16</v>
      </c>
      <c r="H111" s="8" t="s">
        <v>43</v>
      </c>
      <c r="I111" s="8" t="s">
        <v>30</v>
      </c>
      <c r="J111" s="8" t="s">
        <v>47</v>
      </c>
      <c r="K111" s="8" t="s">
        <v>32</v>
      </c>
      <c r="L111" s="8">
        <v>2</v>
      </c>
      <c r="M111" s="8">
        <v>2303.71</v>
      </c>
      <c r="N111" s="8">
        <v>20</v>
      </c>
    </row>
    <row r="112" spans="1:14">
      <c r="A112" s="8">
        <v>10119</v>
      </c>
      <c r="B112" s="8">
        <v>1337</v>
      </c>
      <c r="C112" s="23">
        <v>44964</v>
      </c>
      <c r="D112" s="23">
        <v>44970</v>
      </c>
      <c r="E112" s="8" t="s">
        <v>15</v>
      </c>
      <c r="F112" s="8" t="s">
        <v>37</v>
      </c>
      <c r="G112" s="8" t="s">
        <v>16</v>
      </c>
      <c r="H112" s="8" t="s">
        <v>34</v>
      </c>
      <c r="I112" s="8" t="s">
        <v>30</v>
      </c>
      <c r="J112" s="8" t="s">
        <v>31</v>
      </c>
      <c r="K112" s="8" t="s">
        <v>32</v>
      </c>
      <c r="L112" s="8">
        <v>8</v>
      </c>
      <c r="M112" s="8">
        <v>3339.68</v>
      </c>
      <c r="N112" s="8">
        <v>0</v>
      </c>
    </row>
    <row r="113" spans="1:14">
      <c r="A113" s="8">
        <v>10120</v>
      </c>
      <c r="B113" s="8">
        <v>1878</v>
      </c>
      <c r="C113" s="23">
        <v>45186</v>
      </c>
      <c r="D113" s="23">
        <v>45187</v>
      </c>
      <c r="E113" s="8" t="s">
        <v>39</v>
      </c>
      <c r="F113" s="8" t="s">
        <v>22</v>
      </c>
      <c r="G113" s="8" t="s">
        <v>23</v>
      </c>
      <c r="H113" s="8" t="s">
        <v>41</v>
      </c>
      <c r="I113" s="8" t="s">
        <v>51</v>
      </c>
      <c r="J113" s="8" t="s">
        <v>52</v>
      </c>
      <c r="K113" s="8" t="s">
        <v>46</v>
      </c>
      <c r="L113" s="8">
        <v>7</v>
      </c>
      <c r="M113" s="8">
        <v>2894.46</v>
      </c>
      <c r="N113" s="8">
        <v>5</v>
      </c>
    </row>
    <row r="114" spans="1:14">
      <c r="A114" s="8">
        <v>10121</v>
      </c>
      <c r="B114" s="8">
        <v>1052</v>
      </c>
      <c r="C114" s="23">
        <v>45114</v>
      </c>
      <c r="D114" s="23">
        <v>45115</v>
      </c>
      <c r="E114" s="8" t="s">
        <v>15</v>
      </c>
      <c r="F114" s="8" t="s">
        <v>15</v>
      </c>
      <c r="G114" s="8" t="s">
        <v>23</v>
      </c>
      <c r="H114" s="8" t="s">
        <v>34</v>
      </c>
      <c r="I114" s="8" t="s">
        <v>56</v>
      </c>
      <c r="J114" s="8" t="s">
        <v>61</v>
      </c>
      <c r="K114" s="8" t="s">
        <v>32</v>
      </c>
      <c r="L114" s="8">
        <v>5</v>
      </c>
      <c r="M114" s="8">
        <v>2832.28</v>
      </c>
      <c r="N114" s="8">
        <v>0</v>
      </c>
    </row>
    <row r="115" spans="1:14">
      <c r="A115" s="8">
        <v>10122</v>
      </c>
      <c r="B115" s="8">
        <v>1791</v>
      </c>
      <c r="C115" s="23">
        <v>44983</v>
      </c>
      <c r="D115" s="23">
        <v>44991</v>
      </c>
      <c r="E115" s="8" t="s">
        <v>15</v>
      </c>
      <c r="F115" s="8" t="s">
        <v>37</v>
      </c>
      <c r="G115" s="8" t="s">
        <v>23</v>
      </c>
      <c r="H115" s="8" t="s">
        <v>41</v>
      </c>
      <c r="I115" s="8" t="s">
        <v>48</v>
      </c>
      <c r="J115" s="8" t="s">
        <v>62</v>
      </c>
      <c r="K115" s="8" t="s">
        <v>44</v>
      </c>
      <c r="L115" s="8">
        <v>5</v>
      </c>
      <c r="M115" s="8">
        <v>1398.73</v>
      </c>
      <c r="N115" s="8">
        <v>0</v>
      </c>
    </row>
    <row r="116" spans="1:14">
      <c r="A116" s="8">
        <v>10123</v>
      </c>
      <c r="B116" s="8">
        <v>1921</v>
      </c>
      <c r="C116" s="23">
        <v>44946</v>
      </c>
      <c r="D116" s="23">
        <v>44950</v>
      </c>
      <c r="E116" s="8" t="s">
        <v>21</v>
      </c>
      <c r="F116" s="8" t="s">
        <v>15</v>
      </c>
      <c r="G116" s="8" t="s">
        <v>23</v>
      </c>
      <c r="H116" s="8" t="s">
        <v>43</v>
      </c>
      <c r="I116" s="8" t="s">
        <v>25</v>
      </c>
      <c r="J116" s="8" t="s">
        <v>67</v>
      </c>
      <c r="K116" s="8" t="s">
        <v>46</v>
      </c>
      <c r="L116" s="8">
        <v>7</v>
      </c>
      <c r="M116" s="8">
        <v>1050.5</v>
      </c>
      <c r="N116" s="8">
        <v>20</v>
      </c>
    </row>
    <row r="117" spans="1:14">
      <c r="A117" s="8">
        <v>10124</v>
      </c>
      <c r="B117" s="8">
        <v>1216</v>
      </c>
      <c r="C117" s="23">
        <v>45199</v>
      </c>
      <c r="D117" s="23">
        <v>45200</v>
      </c>
      <c r="E117" s="8" t="s">
        <v>15</v>
      </c>
      <c r="F117" s="8" t="s">
        <v>40</v>
      </c>
      <c r="G117" s="8" t="s">
        <v>23</v>
      </c>
      <c r="H117" s="8" t="s">
        <v>17</v>
      </c>
      <c r="I117" s="8" t="s">
        <v>25</v>
      </c>
      <c r="J117" s="8" t="s">
        <v>60</v>
      </c>
      <c r="K117" s="8" t="s">
        <v>32</v>
      </c>
      <c r="L117" s="8">
        <v>9</v>
      </c>
      <c r="M117" s="8">
        <v>961.91</v>
      </c>
      <c r="N117" s="8">
        <v>15</v>
      </c>
    </row>
    <row r="118" spans="1:14">
      <c r="A118" s="8">
        <v>10125</v>
      </c>
      <c r="B118" s="8">
        <v>1763</v>
      </c>
      <c r="C118" s="23">
        <v>45045</v>
      </c>
      <c r="D118" s="23">
        <v>45052</v>
      </c>
      <c r="E118" s="8" t="s">
        <v>15</v>
      </c>
      <c r="F118" s="8" t="s">
        <v>22</v>
      </c>
      <c r="G118" s="8" t="s">
        <v>29</v>
      </c>
      <c r="H118" s="8" t="s">
        <v>43</v>
      </c>
      <c r="I118" s="8" t="s">
        <v>51</v>
      </c>
      <c r="J118" s="8" t="s">
        <v>63</v>
      </c>
      <c r="K118" s="8" t="s">
        <v>46</v>
      </c>
      <c r="L118" s="8">
        <v>9</v>
      </c>
      <c r="M118" s="8">
        <v>3450.19</v>
      </c>
      <c r="N118" s="8">
        <v>0</v>
      </c>
    </row>
    <row r="119" spans="1:14">
      <c r="A119" s="8">
        <v>10126</v>
      </c>
      <c r="B119" s="8">
        <v>1187</v>
      </c>
      <c r="C119" s="23">
        <v>44997</v>
      </c>
      <c r="D119" s="23">
        <v>45002</v>
      </c>
      <c r="E119" s="8" t="s">
        <v>21</v>
      </c>
      <c r="F119" s="8" t="s">
        <v>53</v>
      </c>
      <c r="G119" s="8" t="s">
        <v>23</v>
      </c>
      <c r="H119" s="8" t="s">
        <v>17</v>
      </c>
      <c r="I119" s="8" t="s">
        <v>30</v>
      </c>
      <c r="J119" s="8" t="s">
        <v>47</v>
      </c>
      <c r="K119" s="8" t="s">
        <v>27</v>
      </c>
      <c r="L119" s="8">
        <v>9</v>
      </c>
      <c r="M119" s="8">
        <v>3308.64</v>
      </c>
      <c r="N119" s="8">
        <v>5</v>
      </c>
    </row>
    <row r="120" spans="1:14">
      <c r="A120" s="8">
        <v>10127</v>
      </c>
      <c r="B120" s="8">
        <v>1379</v>
      </c>
      <c r="C120" s="23">
        <v>44930</v>
      </c>
      <c r="D120" s="23">
        <v>44935</v>
      </c>
      <c r="E120" s="8" t="s">
        <v>36</v>
      </c>
      <c r="F120" s="8" t="s">
        <v>53</v>
      </c>
      <c r="G120" s="8" t="s">
        <v>23</v>
      </c>
      <c r="H120" s="8" t="s">
        <v>17</v>
      </c>
      <c r="I120" s="8" t="s">
        <v>30</v>
      </c>
      <c r="J120" s="8" t="s">
        <v>38</v>
      </c>
      <c r="K120" s="8" t="s">
        <v>20</v>
      </c>
      <c r="L120" s="8">
        <v>6</v>
      </c>
      <c r="M120" s="8">
        <v>1846.21</v>
      </c>
      <c r="N120" s="8">
        <v>10</v>
      </c>
    </row>
    <row r="121" spans="1:14">
      <c r="A121" s="8">
        <v>10128</v>
      </c>
      <c r="B121" s="8">
        <v>1492</v>
      </c>
      <c r="C121" s="23">
        <v>45147</v>
      </c>
      <c r="D121" s="23">
        <v>45148</v>
      </c>
      <c r="E121" s="8" t="s">
        <v>45</v>
      </c>
      <c r="F121" s="8" t="s">
        <v>37</v>
      </c>
      <c r="G121" s="8" t="s">
        <v>29</v>
      </c>
      <c r="H121" s="8" t="s">
        <v>34</v>
      </c>
      <c r="I121" s="8" t="s">
        <v>25</v>
      </c>
      <c r="J121" s="8" t="s">
        <v>60</v>
      </c>
      <c r="K121" s="8" t="s">
        <v>46</v>
      </c>
      <c r="L121" s="8">
        <v>6</v>
      </c>
      <c r="M121" s="8">
        <v>659.76</v>
      </c>
      <c r="N121" s="8">
        <v>0</v>
      </c>
    </row>
    <row r="122" spans="1:14">
      <c r="A122" s="8">
        <v>10129</v>
      </c>
      <c r="B122" s="8">
        <v>1040</v>
      </c>
      <c r="C122" s="23">
        <v>44940</v>
      </c>
      <c r="D122" s="23">
        <v>44946</v>
      </c>
      <c r="E122" s="8" t="s">
        <v>33</v>
      </c>
      <c r="F122" s="8" t="s">
        <v>28</v>
      </c>
      <c r="G122" s="8" t="s">
        <v>23</v>
      </c>
      <c r="H122" s="8" t="s">
        <v>43</v>
      </c>
      <c r="I122" s="8" t="s">
        <v>51</v>
      </c>
      <c r="J122" s="8" t="s">
        <v>55</v>
      </c>
      <c r="K122" s="8" t="s">
        <v>20</v>
      </c>
      <c r="L122" s="8">
        <v>3</v>
      </c>
      <c r="M122" s="8">
        <v>1621.67</v>
      </c>
      <c r="N122" s="8">
        <v>0</v>
      </c>
    </row>
    <row r="123" spans="1:14">
      <c r="A123" s="8">
        <v>10130</v>
      </c>
      <c r="B123" s="8">
        <v>1156</v>
      </c>
      <c r="C123" s="23">
        <v>44929</v>
      </c>
      <c r="D123" s="23">
        <v>44938</v>
      </c>
      <c r="E123" s="8" t="s">
        <v>14</v>
      </c>
      <c r="F123" s="8" t="s">
        <v>40</v>
      </c>
      <c r="G123" s="8" t="s">
        <v>16</v>
      </c>
      <c r="H123" s="8" t="s">
        <v>41</v>
      </c>
      <c r="I123" s="8" t="s">
        <v>56</v>
      </c>
      <c r="J123" s="8" t="s">
        <v>61</v>
      </c>
      <c r="K123" s="8" t="s">
        <v>32</v>
      </c>
      <c r="L123" s="8">
        <v>1</v>
      </c>
      <c r="M123" s="8">
        <v>2534.4699999999998</v>
      </c>
      <c r="N123" s="8">
        <v>5</v>
      </c>
    </row>
    <row r="124" spans="1:14">
      <c r="A124" s="8">
        <v>10131</v>
      </c>
      <c r="B124" s="8">
        <v>1014</v>
      </c>
      <c r="C124" s="23">
        <v>45142</v>
      </c>
      <c r="D124" s="23">
        <v>45151</v>
      </c>
      <c r="E124" s="8" t="s">
        <v>33</v>
      </c>
      <c r="F124" s="8" t="s">
        <v>37</v>
      </c>
      <c r="G124" s="8" t="s">
        <v>23</v>
      </c>
      <c r="H124" s="8" t="s">
        <v>43</v>
      </c>
      <c r="I124" s="8" t="s">
        <v>30</v>
      </c>
      <c r="J124" s="8" t="s">
        <v>31</v>
      </c>
      <c r="K124" s="8" t="s">
        <v>20</v>
      </c>
      <c r="L124" s="8">
        <v>7</v>
      </c>
      <c r="M124" s="8">
        <v>1899.45</v>
      </c>
      <c r="N124" s="8">
        <v>15</v>
      </c>
    </row>
    <row r="125" spans="1:14">
      <c r="A125" s="8">
        <v>10132</v>
      </c>
      <c r="B125" s="8">
        <v>1812</v>
      </c>
      <c r="C125" s="23">
        <v>45155</v>
      </c>
      <c r="D125" s="23">
        <v>45163</v>
      </c>
      <c r="E125" s="8" t="s">
        <v>33</v>
      </c>
      <c r="F125" s="8" t="s">
        <v>28</v>
      </c>
      <c r="G125" s="8" t="s">
        <v>23</v>
      </c>
      <c r="H125" s="8" t="s">
        <v>34</v>
      </c>
      <c r="I125" s="8" t="s">
        <v>56</v>
      </c>
      <c r="J125" s="8" t="s">
        <v>57</v>
      </c>
      <c r="K125" s="8" t="s">
        <v>46</v>
      </c>
      <c r="L125" s="8">
        <v>4</v>
      </c>
      <c r="M125" s="8">
        <v>3153.73</v>
      </c>
      <c r="N125" s="8">
        <v>0</v>
      </c>
    </row>
    <row r="126" spans="1:14">
      <c r="A126" s="8">
        <v>10133</v>
      </c>
      <c r="B126" s="8">
        <v>1064</v>
      </c>
      <c r="C126" s="23">
        <v>45262</v>
      </c>
      <c r="D126" s="23">
        <v>45267</v>
      </c>
      <c r="E126" s="8" t="s">
        <v>39</v>
      </c>
      <c r="F126" s="8" t="s">
        <v>15</v>
      </c>
      <c r="G126" s="8" t="s">
        <v>16</v>
      </c>
      <c r="H126" s="8" t="s">
        <v>17</v>
      </c>
      <c r="I126" s="8" t="s">
        <v>30</v>
      </c>
      <c r="J126" s="8" t="s">
        <v>47</v>
      </c>
      <c r="K126" s="8" t="s">
        <v>27</v>
      </c>
      <c r="L126" s="8">
        <v>1</v>
      </c>
      <c r="M126" s="8">
        <v>3990.85</v>
      </c>
      <c r="N126" s="8">
        <v>0</v>
      </c>
    </row>
    <row r="127" spans="1:14">
      <c r="A127" s="8">
        <v>10135</v>
      </c>
      <c r="B127" s="8">
        <v>1838</v>
      </c>
      <c r="C127" s="23">
        <v>44981</v>
      </c>
      <c r="D127" s="23">
        <v>44990</v>
      </c>
      <c r="E127" s="8" t="s">
        <v>39</v>
      </c>
      <c r="F127" s="8" t="s">
        <v>15</v>
      </c>
      <c r="G127" s="8" t="s">
        <v>16</v>
      </c>
      <c r="H127" s="8" t="s">
        <v>24</v>
      </c>
      <c r="I127" s="8" t="s">
        <v>18</v>
      </c>
      <c r="J127" s="8" t="s">
        <v>42</v>
      </c>
      <c r="K127" s="8" t="s">
        <v>46</v>
      </c>
      <c r="L127" s="8">
        <v>6</v>
      </c>
      <c r="M127" s="8">
        <v>1919.66</v>
      </c>
      <c r="N127" s="8">
        <v>5</v>
      </c>
    </row>
    <row r="128" spans="1:14">
      <c r="A128" s="8">
        <v>10136</v>
      </c>
      <c r="B128" s="8">
        <v>1520</v>
      </c>
      <c r="C128" s="23">
        <v>45180</v>
      </c>
      <c r="D128" s="23">
        <v>45181</v>
      </c>
      <c r="E128" s="8" t="s">
        <v>45</v>
      </c>
      <c r="F128" s="8" t="s">
        <v>22</v>
      </c>
      <c r="G128" s="8" t="s">
        <v>16</v>
      </c>
      <c r="H128" s="8" t="s">
        <v>24</v>
      </c>
      <c r="I128" s="8" t="s">
        <v>30</v>
      </c>
      <c r="J128" s="8" t="s">
        <v>38</v>
      </c>
      <c r="K128" s="8" t="s">
        <v>32</v>
      </c>
      <c r="L128" s="8">
        <v>6</v>
      </c>
      <c r="M128" s="8">
        <v>1809.29</v>
      </c>
      <c r="N128" s="8">
        <v>0</v>
      </c>
    </row>
    <row r="129" spans="1:14">
      <c r="A129" s="8">
        <v>10138</v>
      </c>
      <c r="B129" s="8">
        <v>1128</v>
      </c>
      <c r="C129" s="23">
        <v>45088</v>
      </c>
      <c r="D129" s="23">
        <v>45093</v>
      </c>
      <c r="E129" s="8" t="s">
        <v>21</v>
      </c>
      <c r="F129" s="8" t="s">
        <v>28</v>
      </c>
      <c r="G129" s="8" t="s">
        <v>16</v>
      </c>
      <c r="H129" s="8" t="s">
        <v>34</v>
      </c>
      <c r="I129" s="8" t="s">
        <v>51</v>
      </c>
      <c r="J129" s="8" t="s">
        <v>52</v>
      </c>
      <c r="K129" s="8" t="s">
        <v>20</v>
      </c>
      <c r="L129" s="8">
        <v>1</v>
      </c>
      <c r="M129" s="8">
        <v>912.67</v>
      </c>
      <c r="N129" s="8">
        <v>0</v>
      </c>
    </row>
    <row r="130" spans="1:14">
      <c r="A130" s="8">
        <v>10139</v>
      </c>
      <c r="B130" s="8">
        <v>1647</v>
      </c>
      <c r="C130" s="23">
        <v>45084</v>
      </c>
      <c r="D130" s="23">
        <v>45087</v>
      </c>
      <c r="E130" s="8" t="s">
        <v>45</v>
      </c>
      <c r="F130" s="8" t="s">
        <v>22</v>
      </c>
      <c r="G130" s="8" t="s">
        <v>16</v>
      </c>
      <c r="H130" s="8" t="s">
        <v>41</v>
      </c>
      <c r="I130" s="8" t="s">
        <v>51</v>
      </c>
      <c r="J130" s="8" t="s">
        <v>52</v>
      </c>
      <c r="K130" s="8" t="s">
        <v>44</v>
      </c>
      <c r="L130" s="8">
        <v>2</v>
      </c>
      <c r="M130" s="8">
        <v>402.91</v>
      </c>
      <c r="N130" s="8">
        <v>10</v>
      </c>
    </row>
    <row r="131" spans="1:14">
      <c r="A131" s="8">
        <v>10140</v>
      </c>
      <c r="B131" s="8">
        <v>1471</v>
      </c>
      <c r="C131" s="23">
        <v>45008</v>
      </c>
      <c r="D131" s="23">
        <v>45015</v>
      </c>
      <c r="E131" s="8" t="s">
        <v>15</v>
      </c>
      <c r="F131" s="8" t="s">
        <v>53</v>
      </c>
      <c r="G131" s="8" t="s">
        <v>29</v>
      </c>
      <c r="H131" s="8" t="s">
        <v>41</v>
      </c>
      <c r="I131" s="8" t="s">
        <v>56</v>
      </c>
      <c r="J131" s="8" t="s">
        <v>58</v>
      </c>
      <c r="K131" s="8" t="s">
        <v>46</v>
      </c>
      <c r="L131" s="8">
        <v>4</v>
      </c>
      <c r="M131" s="8">
        <v>3565.41</v>
      </c>
      <c r="N131" s="8">
        <v>20</v>
      </c>
    </row>
    <row r="132" spans="1:14">
      <c r="A132" s="8">
        <v>10141</v>
      </c>
      <c r="B132" s="8">
        <v>1062</v>
      </c>
      <c r="C132" s="23">
        <v>45085</v>
      </c>
      <c r="D132" s="23">
        <v>45092</v>
      </c>
      <c r="E132" s="8" t="s">
        <v>36</v>
      </c>
      <c r="F132" s="8" t="s">
        <v>28</v>
      </c>
      <c r="G132" s="8" t="s">
        <v>16</v>
      </c>
      <c r="H132" s="8" t="s">
        <v>24</v>
      </c>
      <c r="I132" s="8" t="s">
        <v>30</v>
      </c>
      <c r="J132" s="8" t="s">
        <v>38</v>
      </c>
      <c r="K132" s="8" t="s">
        <v>27</v>
      </c>
      <c r="L132" s="8">
        <v>2</v>
      </c>
      <c r="M132" s="8">
        <v>1766.42</v>
      </c>
      <c r="N132" s="8">
        <v>10</v>
      </c>
    </row>
    <row r="133" spans="1:14">
      <c r="A133" s="8">
        <v>10142</v>
      </c>
      <c r="B133" s="8">
        <v>1138</v>
      </c>
      <c r="C133" s="23">
        <v>45114</v>
      </c>
      <c r="D133" s="23">
        <v>45123</v>
      </c>
      <c r="E133" s="8" t="s">
        <v>15</v>
      </c>
      <c r="F133" s="8" t="s">
        <v>37</v>
      </c>
      <c r="G133" s="8" t="s">
        <v>16</v>
      </c>
      <c r="H133" s="8" t="s">
        <v>41</v>
      </c>
      <c r="I133" s="8" t="s">
        <v>48</v>
      </c>
      <c r="J133" s="8" t="s">
        <v>50</v>
      </c>
      <c r="K133" s="8" t="s">
        <v>32</v>
      </c>
      <c r="L133" s="8">
        <v>1</v>
      </c>
      <c r="M133" s="8">
        <v>2063.0500000000002</v>
      </c>
      <c r="N133" s="8">
        <v>0</v>
      </c>
    </row>
    <row r="134" spans="1:14">
      <c r="A134" s="8">
        <v>10143</v>
      </c>
      <c r="B134" s="8">
        <v>1498</v>
      </c>
      <c r="C134" s="23">
        <v>44986</v>
      </c>
      <c r="D134" s="23">
        <v>44993</v>
      </c>
      <c r="E134" s="8" t="s">
        <v>36</v>
      </c>
      <c r="F134" s="8" t="s">
        <v>53</v>
      </c>
      <c r="G134" s="8" t="s">
        <v>29</v>
      </c>
      <c r="H134" s="8" t="s">
        <v>24</v>
      </c>
      <c r="I134" s="8" t="s">
        <v>56</v>
      </c>
      <c r="J134" s="8" t="s">
        <v>57</v>
      </c>
      <c r="K134" s="8" t="s">
        <v>20</v>
      </c>
      <c r="L134" s="8">
        <v>7</v>
      </c>
      <c r="M134" s="8">
        <v>3680.23</v>
      </c>
      <c r="N134" s="8">
        <v>5</v>
      </c>
    </row>
    <row r="135" spans="1:14">
      <c r="A135" s="8">
        <v>10144</v>
      </c>
      <c r="B135" s="8">
        <v>1592</v>
      </c>
      <c r="C135" s="23">
        <v>45231</v>
      </c>
      <c r="D135" s="23">
        <v>45234</v>
      </c>
      <c r="E135" s="8" t="s">
        <v>39</v>
      </c>
      <c r="F135" s="8" t="s">
        <v>53</v>
      </c>
      <c r="G135" s="8" t="s">
        <v>29</v>
      </c>
      <c r="H135" s="8" t="s">
        <v>17</v>
      </c>
      <c r="I135" s="8" t="s">
        <v>18</v>
      </c>
      <c r="J135" s="8" t="s">
        <v>54</v>
      </c>
      <c r="K135" s="8" t="s">
        <v>32</v>
      </c>
      <c r="L135" s="8">
        <v>8</v>
      </c>
      <c r="M135" s="8">
        <v>3138.72</v>
      </c>
      <c r="N135" s="8">
        <v>20</v>
      </c>
    </row>
    <row r="136" spans="1:14">
      <c r="A136" s="8">
        <v>10145</v>
      </c>
      <c r="B136" s="8">
        <v>1391</v>
      </c>
      <c r="C136" s="23">
        <v>45245</v>
      </c>
      <c r="D136" s="23">
        <v>45246</v>
      </c>
      <c r="E136" s="8" t="s">
        <v>36</v>
      </c>
      <c r="F136" s="8" t="s">
        <v>37</v>
      </c>
      <c r="G136" s="8" t="s">
        <v>23</v>
      </c>
      <c r="H136" s="8" t="s">
        <v>34</v>
      </c>
      <c r="I136" s="8" t="s">
        <v>56</v>
      </c>
      <c r="J136" s="8" t="s">
        <v>58</v>
      </c>
      <c r="K136" s="8" t="s">
        <v>46</v>
      </c>
      <c r="L136" s="8">
        <v>6</v>
      </c>
      <c r="M136" s="8">
        <v>652.42999999999995</v>
      </c>
      <c r="N136" s="8">
        <v>10</v>
      </c>
    </row>
    <row r="137" spans="1:14">
      <c r="A137" s="8">
        <v>10146</v>
      </c>
      <c r="B137" s="8">
        <v>1674</v>
      </c>
      <c r="C137" s="23">
        <v>45137</v>
      </c>
      <c r="D137" s="23">
        <v>45145</v>
      </c>
      <c r="E137" s="8" t="s">
        <v>39</v>
      </c>
      <c r="F137" s="8" t="s">
        <v>40</v>
      </c>
      <c r="G137" s="8" t="s">
        <v>29</v>
      </c>
      <c r="H137" s="8" t="s">
        <v>41</v>
      </c>
      <c r="I137" s="8" t="s">
        <v>56</v>
      </c>
      <c r="J137" s="8" t="s">
        <v>61</v>
      </c>
      <c r="K137" s="8" t="s">
        <v>32</v>
      </c>
      <c r="L137" s="8">
        <v>4</v>
      </c>
      <c r="M137" s="8">
        <v>2326.87</v>
      </c>
      <c r="N137" s="8">
        <v>15</v>
      </c>
    </row>
    <row r="138" spans="1:14">
      <c r="A138" s="8">
        <v>10147</v>
      </c>
      <c r="B138" s="8">
        <v>1418</v>
      </c>
      <c r="C138" s="23">
        <v>45078</v>
      </c>
      <c r="D138" s="23">
        <v>45081</v>
      </c>
      <c r="E138" s="8" t="s">
        <v>21</v>
      </c>
      <c r="F138" s="8" t="s">
        <v>53</v>
      </c>
      <c r="G138" s="8" t="s">
        <v>23</v>
      </c>
      <c r="H138" s="8" t="s">
        <v>24</v>
      </c>
      <c r="I138" s="8" t="s">
        <v>30</v>
      </c>
      <c r="J138" s="8" t="s">
        <v>47</v>
      </c>
      <c r="K138" s="8" t="s">
        <v>20</v>
      </c>
      <c r="L138" s="8">
        <v>6</v>
      </c>
      <c r="M138" s="8">
        <v>1852.67</v>
      </c>
      <c r="N138" s="8">
        <v>5</v>
      </c>
    </row>
    <row r="139" spans="1:14">
      <c r="A139" s="8">
        <v>10148</v>
      </c>
      <c r="B139" s="8">
        <v>1288</v>
      </c>
      <c r="C139" s="23">
        <v>45035</v>
      </c>
      <c r="D139" s="23">
        <v>45043</v>
      </c>
      <c r="E139" s="8" t="s">
        <v>33</v>
      </c>
      <c r="F139" s="8" t="s">
        <v>28</v>
      </c>
      <c r="G139" s="8" t="s">
        <v>29</v>
      </c>
      <c r="H139" s="8" t="s">
        <v>43</v>
      </c>
      <c r="I139" s="8" t="s">
        <v>18</v>
      </c>
      <c r="J139" s="8" t="s">
        <v>19</v>
      </c>
      <c r="K139" s="8" t="s">
        <v>46</v>
      </c>
      <c r="L139" s="8">
        <v>3</v>
      </c>
      <c r="M139" s="8">
        <v>3219.26</v>
      </c>
      <c r="N139" s="8">
        <v>10</v>
      </c>
    </row>
    <row r="140" spans="1:14">
      <c r="A140" s="8">
        <v>10149</v>
      </c>
      <c r="B140" s="8">
        <v>1378</v>
      </c>
      <c r="C140" s="23">
        <v>45002</v>
      </c>
      <c r="D140" s="23">
        <v>45010</v>
      </c>
      <c r="E140" s="8" t="s">
        <v>21</v>
      </c>
      <c r="F140" s="8" t="s">
        <v>22</v>
      </c>
      <c r="G140" s="8" t="s">
        <v>29</v>
      </c>
      <c r="H140" s="8" t="s">
        <v>41</v>
      </c>
      <c r="I140" s="8" t="s">
        <v>56</v>
      </c>
      <c r="J140" s="8" t="s">
        <v>61</v>
      </c>
      <c r="K140" s="8" t="s">
        <v>32</v>
      </c>
      <c r="L140" s="8">
        <v>8</v>
      </c>
      <c r="M140" s="8">
        <v>2938.3</v>
      </c>
      <c r="N140" s="8">
        <v>15</v>
      </c>
    </row>
    <row r="141" spans="1:14">
      <c r="A141" s="8">
        <v>10150</v>
      </c>
      <c r="B141" s="8">
        <v>1772</v>
      </c>
      <c r="C141" s="23">
        <v>44956</v>
      </c>
      <c r="D141" s="23">
        <v>44961</v>
      </c>
      <c r="E141" s="8" t="s">
        <v>21</v>
      </c>
      <c r="F141" s="8" t="s">
        <v>53</v>
      </c>
      <c r="G141" s="8" t="s">
        <v>23</v>
      </c>
      <c r="H141" s="8" t="s">
        <v>17</v>
      </c>
      <c r="I141" s="8" t="s">
        <v>48</v>
      </c>
      <c r="J141" s="8" t="s">
        <v>50</v>
      </c>
      <c r="K141" s="8" t="s">
        <v>27</v>
      </c>
      <c r="L141" s="8">
        <v>2</v>
      </c>
      <c r="M141" s="8">
        <v>2808.06</v>
      </c>
      <c r="N141" s="8">
        <v>0</v>
      </c>
    </row>
    <row r="142" spans="1:14">
      <c r="A142" s="8">
        <v>10151</v>
      </c>
      <c r="B142" s="8">
        <v>1489</v>
      </c>
      <c r="C142" s="23">
        <v>45240</v>
      </c>
      <c r="D142" s="23">
        <v>45241</v>
      </c>
      <c r="E142" s="8" t="s">
        <v>33</v>
      </c>
      <c r="F142" s="8" t="s">
        <v>28</v>
      </c>
      <c r="G142" s="8" t="s">
        <v>29</v>
      </c>
      <c r="H142" s="8" t="s">
        <v>17</v>
      </c>
      <c r="I142" s="8" t="s">
        <v>48</v>
      </c>
      <c r="J142" s="8" t="s">
        <v>62</v>
      </c>
      <c r="K142" s="8" t="s">
        <v>46</v>
      </c>
      <c r="L142" s="8">
        <v>5</v>
      </c>
      <c r="M142" s="8">
        <v>1461.1</v>
      </c>
      <c r="N142" s="8">
        <v>15</v>
      </c>
    </row>
    <row r="143" spans="1:14">
      <c r="A143" s="8">
        <v>10152</v>
      </c>
      <c r="B143" s="8">
        <v>1230</v>
      </c>
      <c r="C143" s="23">
        <v>45043</v>
      </c>
      <c r="D143" s="23">
        <v>45050</v>
      </c>
      <c r="E143" s="8" t="s">
        <v>36</v>
      </c>
      <c r="F143" s="8" t="s">
        <v>15</v>
      </c>
      <c r="G143" s="8" t="s">
        <v>23</v>
      </c>
      <c r="H143" s="8" t="s">
        <v>43</v>
      </c>
      <c r="I143" s="8" t="s">
        <v>51</v>
      </c>
      <c r="J143" s="8" t="s">
        <v>55</v>
      </c>
      <c r="K143" s="8" t="s">
        <v>46</v>
      </c>
      <c r="L143" s="8">
        <v>1</v>
      </c>
      <c r="M143" s="8">
        <v>3249.11</v>
      </c>
      <c r="N143" s="8">
        <v>10</v>
      </c>
    </row>
    <row r="144" spans="1:14">
      <c r="A144" s="8">
        <v>10154</v>
      </c>
      <c r="B144" s="8">
        <v>1027</v>
      </c>
      <c r="C144" s="23">
        <v>45118</v>
      </c>
      <c r="D144" s="23">
        <v>45126</v>
      </c>
      <c r="E144" s="8" t="s">
        <v>39</v>
      </c>
      <c r="F144" s="8" t="s">
        <v>22</v>
      </c>
      <c r="G144" s="8" t="s">
        <v>16</v>
      </c>
      <c r="H144" s="8" t="s">
        <v>41</v>
      </c>
      <c r="I144" s="8" t="s">
        <v>18</v>
      </c>
      <c r="J144" s="8" t="s">
        <v>42</v>
      </c>
      <c r="K144" s="8" t="s">
        <v>44</v>
      </c>
      <c r="L144" s="8">
        <v>2</v>
      </c>
      <c r="M144" s="8">
        <v>764.56</v>
      </c>
      <c r="N144" s="8">
        <v>0</v>
      </c>
    </row>
    <row r="145" spans="1:14">
      <c r="A145" s="8">
        <v>10155</v>
      </c>
      <c r="B145" s="8">
        <v>1134</v>
      </c>
      <c r="C145" s="23">
        <v>44945</v>
      </c>
      <c r="D145" s="23">
        <v>44954</v>
      </c>
      <c r="E145" s="8" t="s">
        <v>15</v>
      </c>
      <c r="F145" s="8" t="s">
        <v>28</v>
      </c>
      <c r="G145" s="8" t="s">
        <v>29</v>
      </c>
      <c r="H145" s="8" t="s">
        <v>24</v>
      </c>
      <c r="I145" s="8" t="s">
        <v>51</v>
      </c>
      <c r="J145" s="8" t="s">
        <v>55</v>
      </c>
      <c r="K145" s="8" t="s">
        <v>20</v>
      </c>
      <c r="L145" s="8">
        <v>4</v>
      </c>
      <c r="M145" s="8">
        <v>1442.15</v>
      </c>
      <c r="N145" s="8">
        <v>15</v>
      </c>
    </row>
    <row r="146" spans="1:14">
      <c r="A146" s="8">
        <v>10156</v>
      </c>
      <c r="B146" s="8">
        <v>1200</v>
      </c>
      <c r="C146" s="23">
        <v>45099</v>
      </c>
      <c r="D146" s="23">
        <v>45106</v>
      </c>
      <c r="E146" s="8" t="s">
        <v>39</v>
      </c>
      <c r="F146" s="8" t="s">
        <v>37</v>
      </c>
      <c r="G146" s="8" t="s">
        <v>23</v>
      </c>
      <c r="H146" s="8" t="s">
        <v>17</v>
      </c>
      <c r="I146" s="8" t="s">
        <v>56</v>
      </c>
      <c r="J146" s="8" t="s">
        <v>58</v>
      </c>
      <c r="K146" s="8" t="s">
        <v>44</v>
      </c>
      <c r="L146" s="8">
        <v>6</v>
      </c>
      <c r="M146" s="8">
        <v>445.71</v>
      </c>
      <c r="N146" s="8">
        <v>15</v>
      </c>
    </row>
    <row r="147" spans="1:14">
      <c r="A147" s="8">
        <v>10157</v>
      </c>
      <c r="B147" s="8">
        <v>1839</v>
      </c>
      <c r="C147" s="23">
        <v>45154</v>
      </c>
      <c r="D147" s="23">
        <v>45161</v>
      </c>
      <c r="E147" s="8" t="s">
        <v>15</v>
      </c>
      <c r="F147" s="8" t="s">
        <v>22</v>
      </c>
      <c r="G147" s="8" t="s">
        <v>29</v>
      </c>
      <c r="H147" s="8" t="s">
        <v>24</v>
      </c>
      <c r="I147" s="8" t="s">
        <v>18</v>
      </c>
      <c r="J147" s="8" t="s">
        <v>19</v>
      </c>
      <c r="K147" s="8" t="s">
        <v>32</v>
      </c>
      <c r="L147" s="8">
        <v>8</v>
      </c>
      <c r="M147" s="8">
        <v>1054.73</v>
      </c>
      <c r="N147" s="8">
        <v>0</v>
      </c>
    </row>
    <row r="148" spans="1:14">
      <c r="A148" s="8">
        <v>10158</v>
      </c>
      <c r="B148" s="8">
        <v>1779</v>
      </c>
      <c r="C148" s="23">
        <v>45276</v>
      </c>
      <c r="D148" s="23">
        <v>45277</v>
      </c>
      <c r="E148" s="8" t="s">
        <v>21</v>
      </c>
      <c r="F148" s="8" t="s">
        <v>40</v>
      </c>
      <c r="G148" s="8" t="s">
        <v>23</v>
      </c>
      <c r="H148" s="8" t="s">
        <v>17</v>
      </c>
      <c r="I148" s="8" t="s">
        <v>48</v>
      </c>
      <c r="J148" s="8" t="s">
        <v>62</v>
      </c>
      <c r="K148" s="8" t="s">
        <v>27</v>
      </c>
      <c r="L148" s="8">
        <v>8</v>
      </c>
      <c r="M148" s="8">
        <v>3346.08</v>
      </c>
      <c r="N148" s="8">
        <v>15</v>
      </c>
    </row>
    <row r="149" spans="1:14">
      <c r="A149" s="8">
        <v>10159</v>
      </c>
      <c r="B149" s="8">
        <v>1929</v>
      </c>
      <c r="C149" s="23">
        <v>45109</v>
      </c>
      <c r="D149" s="23">
        <v>45113</v>
      </c>
      <c r="E149" s="8" t="s">
        <v>33</v>
      </c>
      <c r="F149" s="8" t="s">
        <v>15</v>
      </c>
      <c r="G149" s="8" t="s">
        <v>23</v>
      </c>
      <c r="H149" s="8" t="s">
        <v>24</v>
      </c>
      <c r="I149" s="8" t="s">
        <v>48</v>
      </c>
      <c r="J149" s="8" t="s">
        <v>66</v>
      </c>
      <c r="K149" s="8" t="s">
        <v>44</v>
      </c>
      <c r="L149" s="8">
        <v>6</v>
      </c>
      <c r="M149" s="8">
        <v>3800.77</v>
      </c>
      <c r="N149" s="8">
        <v>0</v>
      </c>
    </row>
    <row r="150" spans="1:14">
      <c r="A150" s="8">
        <v>10160</v>
      </c>
      <c r="B150" s="8">
        <v>1032</v>
      </c>
      <c r="C150" s="23">
        <v>45039</v>
      </c>
      <c r="D150" s="23">
        <v>45041</v>
      </c>
      <c r="E150" s="8" t="s">
        <v>21</v>
      </c>
      <c r="F150" s="8" t="s">
        <v>37</v>
      </c>
      <c r="G150" s="8" t="s">
        <v>16</v>
      </c>
      <c r="H150" s="8" t="s">
        <v>43</v>
      </c>
      <c r="I150" s="8" t="s">
        <v>30</v>
      </c>
      <c r="J150" s="8" t="s">
        <v>47</v>
      </c>
      <c r="K150" s="8" t="s">
        <v>46</v>
      </c>
      <c r="L150" s="8">
        <v>4</v>
      </c>
      <c r="M150" s="8">
        <v>1322.72</v>
      </c>
      <c r="N150" s="8">
        <v>5</v>
      </c>
    </row>
    <row r="151" spans="1:14">
      <c r="A151" s="8">
        <v>10161</v>
      </c>
      <c r="B151" s="8">
        <v>1047</v>
      </c>
      <c r="C151" s="23">
        <v>45109</v>
      </c>
      <c r="D151" s="23">
        <v>45111</v>
      </c>
      <c r="E151" s="8" t="s">
        <v>45</v>
      </c>
      <c r="F151" s="8" t="s">
        <v>40</v>
      </c>
      <c r="G151" s="8" t="s">
        <v>16</v>
      </c>
      <c r="H151" s="8" t="s">
        <v>34</v>
      </c>
      <c r="I151" s="8" t="s">
        <v>18</v>
      </c>
      <c r="J151" s="8" t="s">
        <v>19</v>
      </c>
      <c r="K151" s="8" t="s">
        <v>32</v>
      </c>
      <c r="L151" s="8">
        <v>8</v>
      </c>
      <c r="M151" s="8">
        <v>1168.3900000000001</v>
      </c>
      <c r="N151" s="8">
        <v>10</v>
      </c>
    </row>
    <row r="152" spans="1:14">
      <c r="A152" s="8">
        <v>10162</v>
      </c>
      <c r="B152" s="8">
        <v>1502</v>
      </c>
      <c r="C152" s="23">
        <v>45072</v>
      </c>
      <c r="D152" s="23">
        <v>45074</v>
      </c>
      <c r="E152" s="8" t="s">
        <v>36</v>
      </c>
      <c r="F152" s="8" t="s">
        <v>28</v>
      </c>
      <c r="G152" s="8" t="s">
        <v>23</v>
      </c>
      <c r="H152" s="8" t="s">
        <v>43</v>
      </c>
      <c r="I152" s="8" t="s">
        <v>56</v>
      </c>
      <c r="J152" s="8" t="s">
        <v>57</v>
      </c>
      <c r="K152" s="8" t="s">
        <v>32</v>
      </c>
      <c r="L152" s="8">
        <v>8</v>
      </c>
      <c r="M152" s="8">
        <v>1227.5899999999999</v>
      </c>
      <c r="N152" s="8">
        <v>5</v>
      </c>
    </row>
    <row r="153" spans="1:14">
      <c r="A153" s="8">
        <v>10163</v>
      </c>
      <c r="B153" s="8">
        <v>1406</v>
      </c>
      <c r="C153" s="23">
        <v>45245</v>
      </c>
      <c r="D153" s="23">
        <v>45249</v>
      </c>
      <c r="E153" s="8" t="s">
        <v>15</v>
      </c>
      <c r="F153" s="8" t="s">
        <v>22</v>
      </c>
      <c r="G153" s="8" t="s">
        <v>29</v>
      </c>
      <c r="H153" s="8" t="s">
        <v>43</v>
      </c>
      <c r="I153" s="8" t="s">
        <v>51</v>
      </c>
      <c r="J153" s="8" t="s">
        <v>52</v>
      </c>
      <c r="K153" s="8" t="s">
        <v>44</v>
      </c>
      <c r="L153" s="8">
        <v>1</v>
      </c>
      <c r="M153" s="8">
        <v>1219.22</v>
      </c>
      <c r="N153" s="8">
        <v>20</v>
      </c>
    </row>
    <row r="154" spans="1:14">
      <c r="A154" s="8">
        <v>10164</v>
      </c>
      <c r="B154" s="8">
        <v>1573</v>
      </c>
      <c r="C154" s="23">
        <v>45042</v>
      </c>
      <c r="D154" s="23">
        <v>45043</v>
      </c>
      <c r="E154" s="8" t="s">
        <v>39</v>
      </c>
      <c r="F154" s="8" t="s">
        <v>15</v>
      </c>
      <c r="G154" s="8" t="s">
        <v>23</v>
      </c>
      <c r="H154" s="8" t="s">
        <v>34</v>
      </c>
      <c r="I154" s="8" t="s">
        <v>51</v>
      </c>
      <c r="J154" s="8" t="s">
        <v>63</v>
      </c>
      <c r="K154" s="8" t="s">
        <v>44</v>
      </c>
      <c r="L154" s="8">
        <v>4</v>
      </c>
      <c r="M154" s="8">
        <v>288.33</v>
      </c>
      <c r="N154" s="8">
        <v>20</v>
      </c>
    </row>
    <row r="155" spans="1:14">
      <c r="A155" s="8">
        <v>10165</v>
      </c>
      <c r="B155" s="8">
        <v>1727</v>
      </c>
      <c r="C155" s="23">
        <v>45039</v>
      </c>
      <c r="D155" s="23">
        <v>45043</v>
      </c>
      <c r="E155" s="8" t="s">
        <v>33</v>
      </c>
      <c r="F155" s="8" t="s">
        <v>37</v>
      </c>
      <c r="G155" s="8" t="s">
        <v>23</v>
      </c>
      <c r="H155" s="8" t="s">
        <v>34</v>
      </c>
      <c r="I155" s="8" t="s">
        <v>56</v>
      </c>
      <c r="J155" s="8" t="s">
        <v>61</v>
      </c>
      <c r="K155" s="8" t="s">
        <v>27</v>
      </c>
      <c r="L155" s="8">
        <v>4</v>
      </c>
      <c r="M155" s="8">
        <v>3718.63</v>
      </c>
      <c r="N155" s="8">
        <v>20</v>
      </c>
    </row>
    <row r="156" spans="1:14">
      <c r="A156" s="8">
        <v>10166</v>
      </c>
      <c r="B156" s="8">
        <v>1804</v>
      </c>
      <c r="C156" s="23">
        <v>45177</v>
      </c>
      <c r="D156" s="23">
        <v>45179</v>
      </c>
      <c r="E156" s="8" t="s">
        <v>15</v>
      </c>
      <c r="F156" s="8" t="s">
        <v>40</v>
      </c>
      <c r="G156" s="8" t="s">
        <v>29</v>
      </c>
      <c r="H156" s="8" t="s">
        <v>41</v>
      </c>
      <c r="I156" s="8" t="s">
        <v>25</v>
      </c>
      <c r="J156" s="8" t="s">
        <v>26</v>
      </c>
      <c r="K156" s="8" t="s">
        <v>20</v>
      </c>
      <c r="L156" s="8">
        <v>7</v>
      </c>
      <c r="M156" s="8">
        <v>972.74</v>
      </c>
      <c r="N156" s="8">
        <v>0</v>
      </c>
    </row>
    <row r="157" spans="1:14">
      <c r="A157" s="8">
        <v>10167</v>
      </c>
      <c r="B157" s="8">
        <v>1098</v>
      </c>
      <c r="C157" s="23">
        <v>45177</v>
      </c>
      <c r="D157" s="23">
        <v>45182</v>
      </c>
      <c r="E157" s="8" t="s">
        <v>39</v>
      </c>
      <c r="F157" s="8" t="s">
        <v>40</v>
      </c>
      <c r="G157" s="8" t="s">
        <v>29</v>
      </c>
      <c r="H157" s="8" t="s">
        <v>41</v>
      </c>
      <c r="I157" s="8" t="s">
        <v>30</v>
      </c>
      <c r="J157" s="8" t="s">
        <v>31</v>
      </c>
      <c r="K157" s="8" t="s">
        <v>44</v>
      </c>
      <c r="L157" s="8">
        <v>7</v>
      </c>
      <c r="M157" s="8">
        <v>1767.02</v>
      </c>
      <c r="N157" s="8">
        <v>15</v>
      </c>
    </row>
    <row r="158" spans="1:14">
      <c r="A158" s="8">
        <v>10168</v>
      </c>
      <c r="B158" s="8">
        <v>1683</v>
      </c>
      <c r="C158" s="23">
        <v>45229</v>
      </c>
      <c r="D158" s="23">
        <v>45232</v>
      </c>
      <c r="E158" s="8" t="s">
        <v>36</v>
      </c>
      <c r="F158" s="8" t="s">
        <v>15</v>
      </c>
      <c r="G158" s="8" t="s">
        <v>29</v>
      </c>
      <c r="H158" s="8" t="s">
        <v>43</v>
      </c>
      <c r="I158" s="8" t="s">
        <v>51</v>
      </c>
      <c r="J158" s="8" t="s">
        <v>55</v>
      </c>
      <c r="K158" s="8" t="s">
        <v>44</v>
      </c>
      <c r="L158" s="8">
        <v>8</v>
      </c>
      <c r="M158" s="8">
        <v>187.29</v>
      </c>
      <c r="N158" s="8">
        <v>5</v>
      </c>
    </row>
    <row r="159" spans="1:14">
      <c r="A159" s="8">
        <v>10170</v>
      </c>
      <c r="B159" s="8">
        <v>1725</v>
      </c>
      <c r="C159" s="23">
        <v>45044</v>
      </c>
      <c r="D159" s="23">
        <v>45048</v>
      </c>
      <c r="E159" s="8" t="s">
        <v>36</v>
      </c>
      <c r="F159" s="8" t="s">
        <v>15</v>
      </c>
      <c r="G159" s="8" t="s">
        <v>23</v>
      </c>
      <c r="H159" s="8" t="s">
        <v>17</v>
      </c>
      <c r="I159" s="8" t="s">
        <v>30</v>
      </c>
      <c r="J159" s="8" t="s">
        <v>64</v>
      </c>
      <c r="K159" s="8" t="s">
        <v>32</v>
      </c>
      <c r="L159" s="8">
        <v>7</v>
      </c>
      <c r="M159" s="8">
        <v>2964.96</v>
      </c>
      <c r="N159" s="8">
        <v>5</v>
      </c>
    </row>
    <row r="160" spans="1:14">
      <c r="A160" s="8">
        <v>10171</v>
      </c>
      <c r="B160" s="8">
        <v>1986</v>
      </c>
      <c r="C160" s="23">
        <v>45227</v>
      </c>
      <c r="D160" s="23">
        <v>45228</v>
      </c>
      <c r="E160" s="8" t="s">
        <v>14</v>
      </c>
      <c r="F160" s="8" t="s">
        <v>40</v>
      </c>
      <c r="G160" s="8" t="s">
        <v>23</v>
      </c>
      <c r="H160" s="8" t="s">
        <v>17</v>
      </c>
      <c r="I160" s="8" t="s">
        <v>18</v>
      </c>
      <c r="J160" s="8" t="s">
        <v>42</v>
      </c>
      <c r="K160" s="8" t="s">
        <v>20</v>
      </c>
      <c r="L160" s="8">
        <v>8</v>
      </c>
      <c r="M160" s="8">
        <v>3795.01</v>
      </c>
      <c r="N160" s="8">
        <v>5</v>
      </c>
    </row>
    <row r="161" spans="1:14">
      <c r="A161" s="8">
        <v>10172</v>
      </c>
      <c r="B161" s="8">
        <v>1546</v>
      </c>
      <c r="C161" s="23">
        <v>45087</v>
      </c>
      <c r="D161" s="23">
        <v>45088</v>
      </c>
      <c r="E161" s="8" t="s">
        <v>45</v>
      </c>
      <c r="F161" s="8" t="s">
        <v>53</v>
      </c>
      <c r="G161" s="8" t="s">
        <v>16</v>
      </c>
      <c r="H161" s="8" t="s">
        <v>41</v>
      </c>
      <c r="I161" s="8" t="s">
        <v>48</v>
      </c>
      <c r="J161" s="8" t="s">
        <v>62</v>
      </c>
      <c r="K161" s="8" t="s">
        <v>46</v>
      </c>
      <c r="L161" s="8">
        <v>9</v>
      </c>
      <c r="M161" s="8">
        <v>3159.22</v>
      </c>
      <c r="N161" s="8">
        <v>20</v>
      </c>
    </row>
    <row r="162" spans="1:14">
      <c r="A162" s="8">
        <v>10173</v>
      </c>
      <c r="B162" s="8">
        <v>1960</v>
      </c>
      <c r="C162" s="23">
        <v>45124</v>
      </c>
      <c r="D162" s="23">
        <v>45127</v>
      </c>
      <c r="E162" s="8" t="s">
        <v>14</v>
      </c>
      <c r="F162" s="8" t="s">
        <v>37</v>
      </c>
      <c r="G162" s="8" t="s">
        <v>23</v>
      </c>
      <c r="H162" s="8" t="s">
        <v>41</v>
      </c>
      <c r="I162" s="8" t="s">
        <v>30</v>
      </c>
      <c r="J162" s="8" t="s">
        <v>64</v>
      </c>
      <c r="K162" s="8" t="s">
        <v>27</v>
      </c>
      <c r="L162" s="8">
        <v>3</v>
      </c>
      <c r="M162" s="8">
        <v>1357.77</v>
      </c>
      <c r="N162" s="8">
        <v>5</v>
      </c>
    </row>
    <row r="163" spans="1:14">
      <c r="A163" s="8">
        <v>10174</v>
      </c>
      <c r="B163" s="8">
        <v>1738</v>
      </c>
      <c r="C163" s="23">
        <v>45186</v>
      </c>
      <c r="D163" s="23">
        <v>45195</v>
      </c>
      <c r="E163" s="8" t="s">
        <v>33</v>
      </c>
      <c r="F163" s="8" t="s">
        <v>15</v>
      </c>
      <c r="G163" s="8" t="s">
        <v>29</v>
      </c>
      <c r="H163" s="8" t="s">
        <v>17</v>
      </c>
      <c r="I163" s="8" t="s">
        <v>51</v>
      </c>
      <c r="J163" s="8" t="s">
        <v>52</v>
      </c>
      <c r="K163" s="8" t="s">
        <v>27</v>
      </c>
      <c r="L163" s="8">
        <v>3</v>
      </c>
      <c r="M163" s="8">
        <v>1104.31</v>
      </c>
      <c r="N163" s="8">
        <v>15</v>
      </c>
    </row>
    <row r="164" spans="1:14">
      <c r="A164" s="8">
        <v>10175</v>
      </c>
      <c r="B164" s="8">
        <v>1612</v>
      </c>
      <c r="C164" s="23">
        <v>45074</v>
      </c>
      <c r="D164" s="23">
        <v>45081</v>
      </c>
      <c r="E164" s="8" t="s">
        <v>15</v>
      </c>
      <c r="F164" s="8" t="s">
        <v>40</v>
      </c>
      <c r="G164" s="8" t="s">
        <v>16</v>
      </c>
      <c r="H164" s="8" t="s">
        <v>17</v>
      </c>
      <c r="I164" s="8" t="s">
        <v>30</v>
      </c>
      <c r="J164" s="8" t="s">
        <v>31</v>
      </c>
      <c r="K164" s="8" t="s">
        <v>44</v>
      </c>
      <c r="L164" s="8">
        <v>4</v>
      </c>
      <c r="M164" s="8">
        <v>2836.21</v>
      </c>
      <c r="N164" s="8">
        <v>20</v>
      </c>
    </row>
    <row r="165" spans="1:14">
      <c r="A165" s="8">
        <v>10178</v>
      </c>
      <c r="B165" s="8">
        <v>1642</v>
      </c>
      <c r="C165" s="23">
        <v>45124</v>
      </c>
      <c r="D165" s="23">
        <v>45126</v>
      </c>
      <c r="E165" s="8" t="s">
        <v>39</v>
      </c>
      <c r="F165" s="8" t="s">
        <v>28</v>
      </c>
      <c r="G165" s="8" t="s">
        <v>16</v>
      </c>
      <c r="H165" s="8" t="s">
        <v>17</v>
      </c>
      <c r="I165" s="8" t="s">
        <v>25</v>
      </c>
      <c r="J165" s="8" t="s">
        <v>60</v>
      </c>
      <c r="K165" s="8" t="s">
        <v>44</v>
      </c>
      <c r="L165" s="8">
        <v>7</v>
      </c>
      <c r="M165" s="8">
        <v>174.09</v>
      </c>
      <c r="N165" s="8">
        <v>10</v>
      </c>
    </row>
    <row r="166" spans="1:14">
      <c r="A166" s="8">
        <v>10179</v>
      </c>
      <c r="B166" s="8">
        <v>1768</v>
      </c>
      <c r="C166" s="23">
        <v>44973</v>
      </c>
      <c r="D166" s="23">
        <v>44976</v>
      </c>
      <c r="E166" s="8" t="s">
        <v>36</v>
      </c>
      <c r="F166" s="8" t="s">
        <v>15</v>
      </c>
      <c r="G166" s="8" t="s">
        <v>29</v>
      </c>
      <c r="H166" s="8" t="s">
        <v>24</v>
      </c>
      <c r="I166" s="8" t="s">
        <v>30</v>
      </c>
      <c r="J166" s="8" t="s">
        <v>31</v>
      </c>
      <c r="K166" s="8" t="s">
        <v>20</v>
      </c>
      <c r="L166" s="8">
        <v>9</v>
      </c>
      <c r="M166" s="8">
        <v>388.26</v>
      </c>
      <c r="N166" s="8">
        <v>10</v>
      </c>
    </row>
    <row r="167" spans="1:14">
      <c r="A167" s="8">
        <v>10180</v>
      </c>
      <c r="B167" s="8">
        <v>1004</v>
      </c>
      <c r="C167" s="23">
        <v>45004</v>
      </c>
      <c r="D167" s="23">
        <v>45006</v>
      </c>
      <c r="E167" s="8" t="s">
        <v>14</v>
      </c>
      <c r="F167" s="8" t="s">
        <v>28</v>
      </c>
      <c r="G167" s="8" t="s">
        <v>16</v>
      </c>
      <c r="H167" s="8" t="s">
        <v>34</v>
      </c>
      <c r="I167" s="8" t="s">
        <v>18</v>
      </c>
      <c r="J167" s="8" t="s">
        <v>42</v>
      </c>
      <c r="K167" s="8" t="s">
        <v>44</v>
      </c>
      <c r="L167" s="8">
        <v>8</v>
      </c>
      <c r="M167" s="8">
        <v>2211.17</v>
      </c>
      <c r="N167" s="8">
        <v>10</v>
      </c>
    </row>
    <row r="168" spans="1:14">
      <c r="A168" s="8">
        <v>10181</v>
      </c>
      <c r="B168" s="8">
        <v>1217</v>
      </c>
      <c r="C168" s="23">
        <v>45050</v>
      </c>
      <c r="D168" s="23">
        <v>45053</v>
      </c>
      <c r="E168" s="8" t="s">
        <v>14</v>
      </c>
      <c r="F168" s="8" t="s">
        <v>22</v>
      </c>
      <c r="G168" s="8" t="s">
        <v>16</v>
      </c>
      <c r="H168" s="8" t="s">
        <v>41</v>
      </c>
      <c r="I168" s="8" t="s">
        <v>48</v>
      </c>
      <c r="J168" s="8" t="s">
        <v>49</v>
      </c>
      <c r="K168" s="8" t="s">
        <v>32</v>
      </c>
      <c r="L168" s="8">
        <v>5</v>
      </c>
      <c r="M168" s="8">
        <v>2329.38</v>
      </c>
      <c r="N168" s="8">
        <v>20</v>
      </c>
    </row>
    <row r="169" spans="1:14">
      <c r="A169" s="8">
        <v>10183</v>
      </c>
      <c r="B169" s="8">
        <v>1766</v>
      </c>
      <c r="C169" s="23">
        <v>45285</v>
      </c>
      <c r="D169" s="23">
        <v>45294</v>
      </c>
      <c r="E169" s="8" t="s">
        <v>14</v>
      </c>
      <c r="F169" s="8" t="s">
        <v>22</v>
      </c>
      <c r="G169" s="8" t="s">
        <v>29</v>
      </c>
      <c r="H169" s="8" t="s">
        <v>17</v>
      </c>
      <c r="I169" s="8" t="s">
        <v>30</v>
      </c>
      <c r="J169" s="8" t="s">
        <v>38</v>
      </c>
      <c r="K169" s="8" t="s">
        <v>46</v>
      </c>
      <c r="L169" s="8">
        <v>7</v>
      </c>
      <c r="M169" s="8">
        <v>658.07</v>
      </c>
      <c r="N169" s="8">
        <v>20</v>
      </c>
    </row>
    <row r="170" spans="1:14">
      <c r="A170" s="8">
        <v>10184</v>
      </c>
      <c r="B170" s="8">
        <v>1397</v>
      </c>
      <c r="C170" s="23">
        <v>45063</v>
      </c>
      <c r="D170" s="23">
        <v>45072</v>
      </c>
      <c r="E170" s="8" t="s">
        <v>21</v>
      </c>
      <c r="F170" s="8" t="s">
        <v>53</v>
      </c>
      <c r="G170" s="8" t="s">
        <v>16</v>
      </c>
      <c r="H170" s="8" t="s">
        <v>43</v>
      </c>
      <c r="I170" s="8" t="s">
        <v>51</v>
      </c>
      <c r="J170" s="8" t="s">
        <v>63</v>
      </c>
      <c r="K170" s="8" t="s">
        <v>20</v>
      </c>
      <c r="L170" s="8">
        <v>5</v>
      </c>
      <c r="M170" s="8">
        <v>2125.75</v>
      </c>
      <c r="N170" s="8">
        <v>15</v>
      </c>
    </row>
    <row r="171" spans="1:14">
      <c r="A171" s="8">
        <v>10185</v>
      </c>
      <c r="B171" s="8">
        <v>1870</v>
      </c>
      <c r="C171" s="23">
        <v>45016</v>
      </c>
      <c r="D171" s="23">
        <v>45023</v>
      </c>
      <c r="E171" s="8" t="s">
        <v>33</v>
      </c>
      <c r="F171" s="8" t="s">
        <v>15</v>
      </c>
      <c r="G171" s="8" t="s">
        <v>16</v>
      </c>
      <c r="H171" s="8" t="s">
        <v>17</v>
      </c>
      <c r="I171" s="8" t="s">
        <v>30</v>
      </c>
      <c r="J171" s="8" t="s">
        <v>38</v>
      </c>
      <c r="K171" s="8" t="s">
        <v>46</v>
      </c>
      <c r="L171" s="8">
        <v>7</v>
      </c>
      <c r="M171" s="8">
        <v>898.62</v>
      </c>
      <c r="N171" s="8">
        <v>0</v>
      </c>
    </row>
    <row r="172" spans="1:14">
      <c r="A172" s="8">
        <v>10186</v>
      </c>
      <c r="B172" s="8">
        <v>1794</v>
      </c>
      <c r="C172" s="23">
        <v>45251</v>
      </c>
      <c r="D172" s="23">
        <v>45254</v>
      </c>
      <c r="E172" s="8" t="s">
        <v>36</v>
      </c>
      <c r="F172" s="8" t="s">
        <v>40</v>
      </c>
      <c r="G172" s="8" t="s">
        <v>29</v>
      </c>
      <c r="H172" s="8" t="s">
        <v>24</v>
      </c>
      <c r="I172" s="8" t="s">
        <v>51</v>
      </c>
      <c r="J172" s="8" t="s">
        <v>55</v>
      </c>
      <c r="K172" s="8" t="s">
        <v>46</v>
      </c>
      <c r="L172" s="8">
        <v>1</v>
      </c>
      <c r="M172" s="8">
        <v>508.81</v>
      </c>
      <c r="N172" s="8">
        <v>0</v>
      </c>
    </row>
    <row r="173" spans="1:14">
      <c r="A173" s="8">
        <v>10187</v>
      </c>
      <c r="B173" s="8">
        <v>1392</v>
      </c>
      <c r="C173" s="23">
        <v>44987</v>
      </c>
      <c r="D173" s="23">
        <v>44991</v>
      </c>
      <c r="E173" s="8" t="s">
        <v>15</v>
      </c>
      <c r="F173" s="8" t="s">
        <v>40</v>
      </c>
      <c r="G173" s="8" t="s">
        <v>16</v>
      </c>
      <c r="H173" s="8" t="s">
        <v>43</v>
      </c>
      <c r="I173" s="8" t="s">
        <v>18</v>
      </c>
      <c r="J173" s="8" t="s">
        <v>42</v>
      </c>
      <c r="K173" s="8" t="s">
        <v>32</v>
      </c>
      <c r="L173" s="8">
        <v>1</v>
      </c>
      <c r="M173" s="8">
        <v>1730.41</v>
      </c>
      <c r="N173" s="8">
        <v>10</v>
      </c>
    </row>
    <row r="174" spans="1:14">
      <c r="A174" s="8">
        <v>10188</v>
      </c>
      <c r="B174" s="8">
        <v>1206</v>
      </c>
      <c r="C174" s="23">
        <v>45064</v>
      </c>
      <c r="D174" s="23">
        <v>45070</v>
      </c>
      <c r="E174" s="8" t="s">
        <v>39</v>
      </c>
      <c r="F174" s="8" t="s">
        <v>53</v>
      </c>
      <c r="G174" s="8" t="s">
        <v>16</v>
      </c>
      <c r="H174" s="8" t="s">
        <v>24</v>
      </c>
      <c r="I174" s="8" t="s">
        <v>51</v>
      </c>
      <c r="J174" s="8" t="s">
        <v>52</v>
      </c>
      <c r="K174" s="8" t="s">
        <v>20</v>
      </c>
      <c r="L174" s="8">
        <v>3</v>
      </c>
      <c r="M174" s="8">
        <v>778.85</v>
      </c>
      <c r="N174" s="8">
        <v>10</v>
      </c>
    </row>
    <row r="175" spans="1:14">
      <c r="A175" s="8">
        <v>10190</v>
      </c>
      <c r="B175" s="8">
        <v>1857</v>
      </c>
      <c r="C175" s="23">
        <v>45185</v>
      </c>
      <c r="D175" s="23">
        <v>45187</v>
      </c>
      <c r="E175" s="8" t="s">
        <v>33</v>
      </c>
      <c r="F175" s="8" t="s">
        <v>53</v>
      </c>
      <c r="G175" s="8" t="s">
        <v>29</v>
      </c>
      <c r="H175" s="8" t="s">
        <v>24</v>
      </c>
      <c r="I175" s="8" t="s">
        <v>48</v>
      </c>
      <c r="J175" s="8" t="s">
        <v>50</v>
      </c>
      <c r="K175" s="8" t="s">
        <v>20</v>
      </c>
      <c r="L175" s="8">
        <v>2</v>
      </c>
      <c r="M175" s="8">
        <v>1372.59</v>
      </c>
      <c r="N175" s="8">
        <v>5</v>
      </c>
    </row>
    <row r="176" spans="1:14">
      <c r="A176" s="8">
        <v>10191</v>
      </c>
      <c r="B176" s="8">
        <v>1553</v>
      </c>
      <c r="C176" s="23">
        <v>45033</v>
      </c>
      <c r="D176" s="23">
        <v>45039</v>
      </c>
      <c r="E176" s="8" t="s">
        <v>39</v>
      </c>
      <c r="F176" s="8" t="s">
        <v>28</v>
      </c>
      <c r="G176" s="8" t="s">
        <v>29</v>
      </c>
      <c r="H176" s="8" t="s">
        <v>34</v>
      </c>
      <c r="I176" s="8" t="s">
        <v>51</v>
      </c>
      <c r="J176" s="8" t="s">
        <v>55</v>
      </c>
      <c r="K176" s="8" t="s">
        <v>20</v>
      </c>
      <c r="L176" s="8">
        <v>7</v>
      </c>
      <c r="M176" s="8">
        <v>1148.6500000000001</v>
      </c>
      <c r="N176" s="8">
        <v>15</v>
      </c>
    </row>
    <row r="177" spans="1:14">
      <c r="A177" s="8">
        <v>10192</v>
      </c>
      <c r="B177" s="8">
        <v>1891</v>
      </c>
      <c r="C177" s="23">
        <v>45039</v>
      </c>
      <c r="D177" s="23">
        <v>45042</v>
      </c>
      <c r="E177" s="8" t="s">
        <v>14</v>
      </c>
      <c r="F177" s="8" t="s">
        <v>28</v>
      </c>
      <c r="G177" s="8" t="s">
        <v>29</v>
      </c>
      <c r="H177" s="8" t="s">
        <v>34</v>
      </c>
      <c r="I177" s="8" t="s">
        <v>51</v>
      </c>
      <c r="J177" s="8" t="s">
        <v>59</v>
      </c>
      <c r="K177" s="8" t="s">
        <v>20</v>
      </c>
      <c r="L177" s="8">
        <v>2</v>
      </c>
      <c r="M177" s="8">
        <v>487.23</v>
      </c>
      <c r="N177" s="8">
        <v>15</v>
      </c>
    </row>
    <row r="178" spans="1:14">
      <c r="A178" s="8">
        <v>10193</v>
      </c>
      <c r="B178" s="8">
        <v>1460</v>
      </c>
      <c r="C178" s="23">
        <v>45276</v>
      </c>
      <c r="D178" s="23">
        <v>45284</v>
      </c>
      <c r="E178" s="8" t="s">
        <v>45</v>
      </c>
      <c r="F178" s="8" t="s">
        <v>37</v>
      </c>
      <c r="G178" s="8" t="s">
        <v>29</v>
      </c>
      <c r="H178" s="8" t="s">
        <v>24</v>
      </c>
      <c r="I178" s="8" t="s">
        <v>48</v>
      </c>
      <c r="J178" s="8" t="s">
        <v>50</v>
      </c>
      <c r="K178" s="8" t="s">
        <v>32</v>
      </c>
      <c r="L178" s="8">
        <v>4</v>
      </c>
      <c r="M178" s="8">
        <v>496.18</v>
      </c>
      <c r="N178" s="8">
        <v>15</v>
      </c>
    </row>
    <row r="179" spans="1:14">
      <c r="A179" s="8">
        <v>10194</v>
      </c>
      <c r="B179" s="8">
        <v>1690</v>
      </c>
      <c r="C179" s="23">
        <v>45180</v>
      </c>
      <c r="D179" s="23">
        <v>45182</v>
      </c>
      <c r="E179" s="8" t="s">
        <v>33</v>
      </c>
      <c r="F179" s="8" t="s">
        <v>40</v>
      </c>
      <c r="G179" s="8" t="s">
        <v>23</v>
      </c>
      <c r="H179" s="8" t="s">
        <v>24</v>
      </c>
      <c r="I179" s="8" t="s">
        <v>56</v>
      </c>
      <c r="J179" s="8" t="s">
        <v>58</v>
      </c>
      <c r="K179" s="8" t="s">
        <v>44</v>
      </c>
      <c r="L179" s="8">
        <v>2</v>
      </c>
      <c r="M179" s="8">
        <v>894.01</v>
      </c>
      <c r="N179" s="8">
        <v>15</v>
      </c>
    </row>
    <row r="180" spans="1:14">
      <c r="A180" s="8">
        <v>10195</v>
      </c>
      <c r="B180" s="8">
        <v>1574</v>
      </c>
      <c r="C180" s="23">
        <v>45044</v>
      </c>
      <c r="D180" s="23">
        <v>45045</v>
      </c>
      <c r="E180" s="8" t="s">
        <v>33</v>
      </c>
      <c r="F180" s="8" t="s">
        <v>22</v>
      </c>
      <c r="G180" s="8" t="s">
        <v>16</v>
      </c>
      <c r="H180" s="8" t="s">
        <v>34</v>
      </c>
      <c r="I180" s="8" t="s">
        <v>30</v>
      </c>
      <c r="J180" s="8" t="s">
        <v>64</v>
      </c>
      <c r="K180" s="8" t="s">
        <v>46</v>
      </c>
      <c r="L180" s="8">
        <v>6</v>
      </c>
      <c r="M180" s="8">
        <v>344.65</v>
      </c>
      <c r="N180" s="8">
        <v>10</v>
      </c>
    </row>
    <row r="181" spans="1:14">
      <c r="A181" s="8">
        <v>10196</v>
      </c>
      <c r="B181" s="8">
        <v>1863</v>
      </c>
      <c r="C181" s="23">
        <v>45124</v>
      </c>
      <c r="D181" s="23">
        <v>45133</v>
      </c>
      <c r="E181" s="8" t="s">
        <v>36</v>
      </c>
      <c r="F181" s="8" t="s">
        <v>28</v>
      </c>
      <c r="G181" s="8" t="s">
        <v>29</v>
      </c>
      <c r="H181" s="8" t="s">
        <v>43</v>
      </c>
      <c r="I181" s="8" t="s">
        <v>51</v>
      </c>
      <c r="J181" s="8" t="s">
        <v>52</v>
      </c>
      <c r="K181" s="8" t="s">
        <v>20</v>
      </c>
      <c r="L181" s="8">
        <v>8</v>
      </c>
      <c r="M181" s="8">
        <v>2561.86</v>
      </c>
      <c r="N181" s="8">
        <v>0</v>
      </c>
    </row>
    <row r="182" spans="1:14">
      <c r="A182" s="8">
        <v>10197</v>
      </c>
      <c r="B182" s="8">
        <v>1742</v>
      </c>
      <c r="C182" s="23">
        <v>45263</v>
      </c>
      <c r="D182" s="23">
        <v>45266</v>
      </c>
      <c r="E182" s="8" t="s">
        <v>15</v>
      </c>
      <c r="F182" s="8" t="s">
        <v>37</v>
      </c>
      <c r="G182" s="8" t="s">
        <v>16</v>
      </c>
      <c r="H182" s="8" t="s">
        <v>34</v>
      </c>
      <c r="I182" s="8" t="s">
        <v>48</v>
      </c>
      <c r="J182" s="8" t="s">
        <v>66</v>
      </c>
      <c r="K182" s="8" t="s">
        <v>44</v>
      </c>
      <c r="L182" s="8">
        <v>4</v>
      </c>
      <c r="M182" s="8">
        <v>1256.21</v>
      </c>
      <c r="N182" s="8">
        <v>10</v>
      </c>
    </row>
    <row r="183" spans="1:14">
      <c r="A183" s="8">
        <v>10198</v>
      </c>
      <c r="B183" s="8">
        <v>1240</v>
      </c>
      <c r="C183" s="23">
        <v>45291</v>
      </c>
      <c r="D183" s="23">
        <v>45292</v>
      </c>
      <c r="E183" s="8" t="s">
        <v>33</v>
      </c>
      <c r="F183" s="8" t="s">
        <v>40</v>
      </c>
      <c r="G183" s="8" t="s">
        <v>16</v>
      </c>
      <c r="H183" s="8" t="s">
        <v>41</v>
      </c>
      <c r="I183" s="8" t="s">
        <v>18</v>
      </c>
      <c r="J183" s="8" t="s">
        <v>68</v>
      </c>
      <c r="K183" s="8" t="s">
        <v>44</v>
      </c>
      <c r="L183" s="8">
        <v>5</v>
      </c>
      <c r="M183" s="8">
        <v>1227.02</v>
      </c>
      <c r="N183" s="8">
        <v>15</v>
      </c>
    </row>
    <row r="184" spans="1:14">
      <c r="A184" s="8">
        <v>10199</v>
      </c>
      <c r="B184" s="8">
        <v>1563</v>
      </c>
      <c r="C184" s="23">
        <v>44977</v>
      </c>
      <c r="D184" s="23">
        <v>44984</v>
      </c>
      <c r="E184" s="8" t="s">
        <v>33</v>
      </c>
      <c r="F184" s="8" t="s">
        <v>22</v>
      </c>
      <c r="G184" s="8" t="s">
        <v>23</v>
      </c>
      <c r="H184" s="8" t="s">
        <v>34</v>
      </c>
      <c r="I184" s="8" t="s">
        <v>48</v>
      </c>
      <c r="J184" s="8" t="s">
        <v>50</v>
      </c>
      <c r="K184" s="8" t="s">
        <v>46</v>
      </c>
      <c r="L184" s="8">
        <v>4</v>
      </c>
      <c r="M184" s="8">
        <v>1428.19</v>
      </c>
      <c r="N184" s="8">
        <v>10</v>
      </c>
    </row>
    <row r="185" spans="1:14">
      <c r="A185" s="8">
        <v>10200</v>
      </c>
      <c r="B185" s="8">
        <v>1095</v>
      </c>
      <c r="C185" s="23">
        <v>45171</v>
      </c>
      <c r="D185" s="23">
        <v>45176</v>
      </c>
      <c r="E185" s="8" t="s">
        <v>14</v>
      </c>
      <c r="F185" s="8" t="s">
        <v>28</v>
      </c>
      <c r="G185" s="8" t="s">
        <v>29</v>
      </c>
      <c r="H185" s="8" t="s">
        <v>43</v>
      </c>
      <c r="I185" s="8" t="s">
        <v>18</v>
      </c>
      <c r="J185" s="8" t="s">
        <v>68</v>
      </c>
      <c r="K185" s="8" t="s">
        <v>32</v>
      </c>
      <c r="L185" s="8">
        <v>3</v>
      </c>
      <c r="M185" s="8">
        <v>2701.77</v>
      </c>
      <c r="N185" s="8">
        <v>15</v>
      </c>
    </row>
    <row r="186" spans="1:14">
      <c r="A186" s="8">
        <v>10201</v>
      </c>
      <c r="B186" s="8">
        <v>1899</v>
      </c>
      <c r="C186" s="23">
        <v>44961</v>
      </c>
      <c r="D186" s="23">
        <v>44966</v>
      </c>
      <c r="E186" s="8" t="s">
        <v>14</v>
      </c>
      <c r="F186" s="8" t="s">
        <v>28</v>
      </c>
      <c r="G186" s="8" t="s">
        <v>29</v>
      </c>
      <c r="H186" s="8" t="s">
        <v>41</v>
      </c>
      <c r="I186" s="8" t="s">
        <v>56</v>
      </c>
      <c r="J186" s="8" t="s">
        <v>58</v>
      </c>
      <c r="K186" s="8" t="s">
        <v>27</v>
      </c>
      <c r="L186" s="8">
        <v>5</v>
      </c>
      <c r="M186" s="8">
        <v>3501.94</v>
      </c>
      <c r="N186" s="8">
        <v>20</v>
      </c>
    </row>
    <row r="187" spans="1:14">
      <c r="A187" s="8">
        <v>10202</v>
      </c>
      <c r="B187" s="8">
        <v>1733</v>
      </c>
      <c r="C187" s="23">
        <v>45228</v>
      </c>
      <c r="D187" s="23">
        <v>45229</v>
      </c>
      <c r="E187" s="8" t="s">
        <v>39</v>
      </c>
      <c r="F187" s="8" t="s">
        <v>53</v>
      </c>
      <c r="G187" s="8" t="s">
        <v>16</v>
      </c>
      <c r="H187" s="8" t="s">
        <v>17</v>
      </c>
      <c r="I187" s="8" t="s">
        <v>30</v>
      </c>
      <c r="J187" s="8" t="s">
        <v>64</v>
      </c>
      <c r="K187" s="8" t="s">
        <v>27</v>
      </c>
      <c r="L187" s="8">
        <v>9</v>
      </c>
      <c r="M187" s="8">
        <v>3072.48</v>
      </c>
      <c r="N187" s="8">
        <v>0</v>
      </c>
    </row>
    <row r="188" spans="1:14">
      <c r="A188" s="8">
        <v>10207</v>
      </c>
      <c r="B188" s="8">
        <v>1654</v>
      </c>
      <c r="C188" s="23">
        <v>45000</v>
      </c>
      <c r="D188" s="23">
        <v>45006</v>
      </c>
      <c r="E188" s="8" t="s">
        <v>36</v>
      </c>
      <c r="F188" s="8" t="s">
        <v>40</v>
      </c>
      <c r="G188" s="8" t="s">
        <v>23</v>
      </c>
      <c r="H188" s="8" t="s">
        <v>43</v>
      </c>
      <c r="I188" s="8" t="s">
        <v>48</v>
      </c>
      <c r="J188" s="8" t="s">
        <v>50</v>
      </c>
      <c r="K188" s="8" t="s">
        <v>32</v>
      </c>
      <c r="L188" s="8">
        <v>7</v>
      </c>
      <c r="M188" s="8">
        <v>982.56</v>
      </c>
      <c r="N188" s="8">
        <v>10</v>
      </c>
    </row>
    <row r="189" spans="1:14">
      <c r="A189" s="8">
        <v>10208</v>
      </c>
      <c r="B189" s="8">
        <v>1170</v>
      </c>
      <c r="C189" s="23">
        <v>45118</v>
      </c>
      <c r="D189" s="23">
        <v>45123</v>
      </c>
      <c r="E189" s="8" t="s">
        <v>45</v>
      </c>
      <c r="F189" s="8" t="s">
        <v>40</v>
      </c>
      <c r="G189" s="8" t="s">
        <v>23</v>
      </c>
      <c r="H189" s="8" t="s">
        <v>41</v>
      </c>
      <c r="I189" s="8" t="s">
        <v>51</v>
      </c>
      <c r="J189" s="8" t="s">
        <v>52</v>
      </c>
      <c r="K189" s="8" t="s">
        <v>27</v>
      </c>
      <c r="L189" s="8">
        <v>8</v>
      </c>
      <c r="M189" s="8">
        <v>953.07</v>
      </c>
      <c r="N189" s="8">
        <v>20</v>
      </c>
    </row>
    <row r="190" spans="1:14">
      <c r="A190" s="8">
        <v>10209</v>
      </c>
      <c r="B190" s="8">
        <v>1540</v>
      </c>
      <c r="C190" s="23">
        <v>45187</v>
      </c>
      <c r="D190" s="23">
        <v>45193</v>
      </c>
      <c r="E190" s="8" t="s">
        <v>39</v>
      </c>
      <c r="F190" s="8" t="s">
        <v>15</v>
      </c>
      <c r="G190" s="8" t="s">
        <v>16</v>
      </c>
      <c r="H190" s="8" t="s">
        <v>41</v>
      </c>
      <c r="I190" s="8" t="s">
        <v>48</v>
      </c>
      <c r="J190" s="8" t="s">
        <v>49</v>
      </c>
      <c r="K190" s="8" t="s">
        <v>44</v>
      </c>
      <c r="L190" s="8">
        <v>8</v>
      </c>
      <c r="M190" s="8">
        <v>1291.1099999999999</v>
      </c>
      <c r="N190" s="8">
        <v>15</v>
      </c>
    </row>
    <row r="191" spans="1:14">
      <c r="A191" s="8">
        <v>10210</v>
      </c>
      <c r="B191" s="8">
        <v>1035</v>
      </c>
      <c r="C191" s="23">
        <v>45282</v>
      </c>
      <c r="D191" s="23">
        <v>45284</v>
      </c>
      <c r="E191" s="8" t="s">
        <v>14</v>
      </c>
      <c r="F191" s="8" t="s">
        <v>53</v>
      </c>
      <c r="G191" s="8" t="s">
        <v>29</v>
      </c>
      <c r="H191" s="8" t="s">
        <v>17</v>
      </c>
      <c r="I191" s="8" t="s">
        <v>18</v>
      </c>
      <c r="J191" s="8" t="s">
        <v>19</v>
      </c>
      <c r="K191" s="8" t="s">
        <v>44</v>
      </c>
      <c r="L191" s="8">
        <v>8</v>
      </c>
      <c r="M191" s="8">
        <v>3656.59</v>
      </c>
      <c r="N191" s="8">
        <v>15</v>
      </c>
    </row>
    <row r="192" spans="1:14">
      <c r="A192" s="8">
        <v>10211</v>
      </c>
      <c r="B192" s="8">
        <v>1524</v>
      </c>
      <c r="C192" s="23">
        <v>44996</v>
      </c>
      <c r="D192" s="23">
        <v>45000</v>
      </c>
      <c r="E192" s="8" t="s">
        <v>21</v>
      </c>
      <c r="F192" s="8" t="s">
        <v>22</v>
      </c>
      <c r="G192" s="8" t="s">
        <v>23</v>
      </c>
      <c r="H192" s="8" t="s">
        <v>41</v>
      </c>
      <c r="I192" s="8" t="s">
        <v>48</v>
      </c>
      <c r="J192" s="8" t="s">
        <v>50</v>
      </c>
      <c r="K192" s="8" t="s">
        <v>20</v>
      </c>
      <c r="L192" s="8">
        <v>7</v>
      </c>
      <c r="M192" s="8">
        <v>2257.5500000000002</v>
      </c>
      <c r="N192" s="8">
        <v>10</v>
      </c>
    </row>
    <row r="193" spans="1:14">
      <c r="A193" s="8">
        <v>10212</v>
      </c>
      <c r="B193" s="8">
        <v>1159</v>
      </c>
      <c r="C193" s="23">
        <v>45016</v>
      </c>
      <c r="D193" s="23">
        <v>45019</v>
      </c>
      <c r="E193" s="8" t="s">
        <v>15</v>
      </c>
      <c r="F193" s="8" t="s">
        <v>28</v>
      </c>
      <c r="G193" s="8" t="s">
        <v>29</v>
      </c>
      <c r="H193" s="8" t="s">
        <v>43</v>
      </c>
      <c r="I193" s="8" t="s">
        <v>25</v>
      </c>
      <c r="J193" s="8" t="s">
        <v>60</v>
      </c>
      <c r="K193" s="8" t="s">
        <v>32</v>
      </c>
      <c r="L193" s="8">
        <v>1</v>
      </c>
      <c r="M193" s="8">
        <v>2975.54</v>
      </c>
      <c r="N193" s="8">
        <v>15</v>
      </c>
    </row>
    <row r="194" spans="1:14">
      <c r="A194" s="8">
        <v>10214</v>
      </c>
      <c r="B194" s="8">
        <v>1698</v>
      </c>
      <c r="C194" s="23">
        <v>45052</v>
      </c>
      <c r="D194" s="23">
        <v>45061</v>
      </c>
      <c r="E194" s="8" t="s">
        <v>36</v>
      </c>
      <c r="F194" s="8" t="s">
        <v>28</v>
      </c>
      <c r="G194" s="8" t="s">
        <v>23</v>
      </c>
      <c r="H194" s="8" t="s">
        <v>43</v>
      </c>
      <c r="I194" s="8" t="s">
        <v>48</v>
      </c>
      <c r="J194" s="8" t="s">
        <v>62</v>
      </c>
      <c r="K194" s="8" t="s">
        <v>46</v>
      </c>
      <c r="L194" s="8">
        <v>4</v>
      </c>
      <c r="M194" s="8">
        <v>1719.71</v>
      </c>
      <c r="N194" s="8">
        <v>15</v>
      </c>
    </row>
    <row r="195" spans="1:14">
      <c r="A195" s="8">
        <v>10215</v>
      </c>
      <c r="B195" s="8">
        <v>1242</v>
      </c>
      <c r="C195" s="23">
        <v>45157</v>
      </c>
      <c r="D195" s="23">
        <v>45162</v>
      </c>
      <c r="E195" s="8" t="s">
        <v>14</v>
      </c>
      <c r="F195" s="8" t="s">
        <v>15</v>
      </c>
      <c r="G195" s="8" t="s">
        <v>16</v>
      </c>
      <c r="H195" s="8" t="s">
        <v>24</v>
      </c>
      <c r="I195" s="8" t="s">
        <v>25</v>
      </c>
      <c r="J195" s="8" t="s">
        <v>26</v>
      </c>
      <c r="K195" s="8" t="s">
        <v>20</v>
      </c>
      <c r="L195" s="8">
        <v>5</v>
      </c>
      <c r="M195" s="8">
        <v>633.42999999999995</v>
      </c>
      <c r="N195" s="8">
        <v>20</v>
      </c>
    </row>
    <row r="196" spans="1:14">
      <c r="A196" s="8">
        <v>10216</v>
      </c>
      <c r="B196" s="8">
        <v>1085</v>
      </c>
      <c r="C196" s="23">
        <v>45221</v>
      </c>
      <c r="D196" s="23">
        <v>45227</v>
      </c>
      <c r="E196" s="8" t="s">
        <v>36</v>
      </c>
      <c r="F196" s="8" t="s">
        <v>22</v>
      </c>
      <c r="G196" s="8" t="s">
        <v>23</v>
      </c>
      <c r="H196" s="8" t="s">
        <v>17</v>
      </c>
      <c r="I196" s="8" t="s">
        <v>56</v>
      </c>
      <c r="J196" s="8" t="s">
        <v>65</v>
      </c>
      <c r="K196" s="8" t="s">
        <v>20</v>
      </c>
      <c r="L196" s="8">
        <v>6</v>
      </c>
      <c r="M196" s="8">
        <v>809.49</v>
      </c>
      <c r="N196" s="8">
        <v>5</v>
      </c>
    </row>
    <row r="197" spans="1:14">
      <c r="A197" s="8">
        <v>10217</v>
      </c>
      <c r="B197" s="8">
        <v>1795</v>
      </c>
      <c r="C197" s="23">
        <v>45055</v>
      </c>
      <c r="D197" s="23">
        <v>45057</v>
      </c>
      <c r="E197" s="8" t="s">
        <v>36</v>
      </c>
      <c r="F197" s="8" t="s">
        <v>40</v>
      </c>
      <c r="G197" s="8" t="s">
        <v>23</v>
      </c>
      <c r="H197" s="8" t="s">
        <v>41</v>
      </c>
      <c r="I197" s="8" t="s">
        <v>48</v>
      </c>
      <c r="J197" s="8" t="s">
        <v>49</v>
      </c>
      <c r="K197" s="8" t="s">
        <v>27</v>
      </c>
      <c r="L197" s="8">
        <v>4</v>
      </c>
      <c r="M197" s="8">
        <v>3335.32</v>
      </c>
      <c r="N197" s="8">
        <v>20</v>
      </c>
    </row>
    <row r="198" spans="1:14">
      <c r="A198" s="8">
        <v>10218</v>
      </c>
      <c r="B198" s="8">
        <v>1577</v>
      </c>
      <c r="C198" s="23">
        <v>45206</v>
      </c>
      <c r="D198" s="23">
        <v>45209</v>
      </c>
      <c r="E198" s="8" t="s">
        <v>36</v>
      </c>
      <c r="F198" s="8" t="s">
        <v>28</v>
      </c>
      <c r="G198" s="8" t="s">
        <v>16</v>
      </c>
      <c r="H198" s="8" t="s">
        <v>43</v>
      </c>
      <c r="I198" s="8" t="s">
        <v>25</v>
      </c>
      <c r="J198" s="8" t="s">
        <v>67</v>
      </c>
      <c r="K198" s="8" t="s">
        <v>44</v>
      </c>
      <c r="L198" s="8">
        <v>2</v>
      </c>
      <c r="M198" s="8">
        <v>2401.63</v>
      </c>
      <c r="N198" s="8">
        <v>0</v>
      </c>
    </row>
    <row r="199" spans="1:14">
      <c r="A199" s="8">
        <v>10220</v>
      </c>
      <c r="B199" s="8">
        <v>1556</v>
      </c>
      <c r="C199" s="23">
        <v>45026</v>
      </c>
      <c r="D199" s="23">
        <v>45035</v>
      </c>
      <c r="E199" s="8" t="s">
        <v>36</v>
      </c>
      <c r="F199" s="8" t="s">
        <v>15</v>
      </c>
      <c r="G199" s="8" t="s">
        <v>23</v>
      </c>
      <c r="H199" s="8" t="s">
        <v>17</v>
      </c>
      <c r="I199" s="8" t="s">
        <v>18</v>
      </c>
      <c r="J199" s="8" t="s">
        <v>54</v>
      </c>
      <c r="K199" s="8" t="s">
        <v>20</v>
      </c>
      <c r="L199" s="8">
        <v>8</v>
      </c>
      <c r="M199" s="8">
        <v>3240.98</v>
      </c>
      <c r="N199" s="8">
        <v>0</v>
      </c>
    </row>
    <row r="200" spans="1:14">
      <c r="A200" s="8">
        <v>10222</v>
      </c>
      <c r="B200" s="8">
        <v>1952</v>
      </c>
      <c r="C200" s="23">
        <v>45223</v>
      </c>
      <c r="D200" s="23">
        <v>45231</v>
      </c>
      <c r="E200" s="8" t="s">
        <v>15</v>
      </c>
      <c r="F200" s="8" t="s">
        <v>15</v>
      </c>
      <c r="G200" s="8" t="s">
        <v>23</v>
      </c>
      <c r="H200" s="8" t="s">
        <v>43</v>
      </c>
      <c r="I200" s="8" t="s">
        <v>48</v>
      </c>
      <c r="J200" s="8" t="s">
        <v>50</v>
      </c>
      <c r="K200" s="8" t="s">
        <v>20</v>
      </c>
      <c r="L200" s="8">
        <v>7</v>
      </c>
      <c r="M200" s="8">
        <v>3907.73</v>
      </c>
      <c r="N200" s="8">
        <v>10</v>
      </c>
    </row>
    <row r="201" spans="1:14">
      <c r="A201" s="8">
        <v>10223</v>
      </c>
      <c r="B201" s="8">
        <v>1645</v>
      </c>
      <c r="C201" s="23">
        <v>45108</v>
      </c>
      <c r="D201" s="23">
        <v>45117</v>
      </c>
      <c r="E201" s="8" t="s">
        <v>45</v>
      </c>
      <c r="F201" s="8" t="s">
        <v>53</v>
      </c>
      <c r="G201" s="8" t="s">
        <v>16</v>
      </c>
      <c r="H201" s="8" t="s">
        <v>24</v>
      </c>
      <c r="I201" s="8" t="s">
        <v>56</v>
      </c>
      <c r="J201" s="8" t="s">
        <v>58</v>
      </c>
      <c r="K201" s="8" t="s">
        <v>46</v>
      </c>
      <c r="L201" s="8">
        <v>6</v>
      </c>
      <c r="M201" s="8">
        <v>1477.55</v>
      </c>
      <c r="N201" s="8">
        <v>10</v>
      </c>
    </row>
    <row r="202" spans="1:14">
      <c r="A202" s="8">
        <v>10226</v>
      </c>
      <c r="B202" s="8">
        <v>1619</v>
      </c>
      <c r="C202" s="23">
        <v>45290</v>
      </c>
      <c r="D202" s="23">
        <v>45291</v>
      </c>
      <c r="E202" s="8" t="s">
        <v>36</v>
      </c>
      <c r="F202" s="8" t="s">
        <v>37</v>
      </c>
      <c r="G202" s="8" t="s">
        <v>16</v>
      </c>
      <c r="H202" s="8" t="s">
        <v>41</v>
      </c>
      <c r="I202" s="8" t="s">
        <v>48</v>
      </c>
      <c r="J202" s="8" t="s">
        <v>62</v>
      </c>
      <c r="K202" s="8" t="s">
        <v>44</v>
      </c>
      <c r="L202" s="8">
        <v>5</v>
      </c>
      <c r="M202" s="8">
        <v>620.13</v>
      </c>
      <c r="N202" s="8">
        <v>5</v>
      </c>
    </row>
    <row r="203" spans="1:14">
      <c r="A203" s="8">
        <v>10229</v>
      </c>
      <c r="B203" s="8">
        <v>1797</v>
      </c>
      <c r="C203" s="23">
        <v>44957</v>
      </c>
      <c r="D203" s="23">
        <v>44959</v>
      </c>
      <c r="E203" s="8" t="s">
        <v>15</v>
      </c>
      <c r="F203" s="8" t="s">
        <v>53</v>
      </c>
      <c r="G203" s="8" t="s">
        <v>29</v>
      </c>
      <c r="H203" s="8" t="s">
        <v>43</v>
      </c>
      <c r="I203" s="8" t="s">
        <v>48</v>
      </c>
      <c r="J203" s="8" t="s">
        <v>66</v>
      </c>
      <c r="K203" s="8" t="s">
        <v>32</v>
      </c>
      <c r="L203" s="8">
        <v>8</v>
      </c>
      <c r="M203" s="8">
        <v>3519.2</v>
      </c>
      <c r="N203" s="8">
        <v>0</v>
      </c>
    </row>
    <row r="204" spans="1:14">
      <c r="A204" s="8">
        <v>10232</v>
      </c>
      <c r="B204" s="8">
        <v>1639</v>
      </c>
      <c r="C204" s="23">
        <v>44962</v>
      </c>
      <c r="D204" s="23">
        <v>44969</v>
      </c>
      <c r="E204" s="8" t="s">
        <v>21</v>
      </c>
      <c r="F204" s="8" t="s">
        <v>28</v>
      </c>
      <c r="G204" s="8" t="s">
        <v>16</v>
      </c>
      <c r="H204" s="8" t="s">
        <v>17</v>
      </c>
      <c r="I204" s="8" t="s">
        <v>56</v>
      </c>
      <c r="J204" s="8" t="s">
        <v>58</v>
      </c>
      <c r="K204" s="8" t="s">
        <v>20</v>
      </c>
      <c r="L204" s="8">
        <v>1</v>
      </c>
      <c r="M204" s="8">
        <v>2250.4899999999998</v>
      </c>
      <c r="N204" s="8">
        <v>15</v>
      </c>
    </row>
    <row r="205" spans="1:14">
      <c r="A205" s="8">
        <v>10233</v>
      </c>
      <c r="B205" s="8">
        <v>1505</v>
      </c>
      <c r="C205" s="23">
        <v>45139</v>
      </c>
      <c r="D205" s="23">
        <v>45143</v>
      </c>
      <c r="E205" s="8" t="s">
        <v>15</v>
      </c>
      <c r="F205" s="8" t="s">
        <v>40</v>
      </c>
      <c r="G205" s="8" t="s">
        <v>16</v>
      </c>
      <c r="H205" s="8" t="s">
        <v>43</v>
      </c>
      <c r="I205" s="8" t="s">
        <v>18</v>
      </c>
      <c r="J205" s="8" t="s">
        <v>54</v>
      </c>
      <c r="K205" s="8" t="s">
        <v>46</v>
      </c>
      <c r="L205" s="8">
        <v>1</v>
      </c>
      <c r="M205" s="8">
        <v>556.53</v>
      </c>
      <c r="N205" s="8">
        <v>5</v>
      </c>
    </row>
    <row r="206" spans="1:14">
      <c r="A206" s="8">
        <v>10234</v>
      </c>
      <c r="B206" s="8">
        <v>1347</v>
      </c>
      <c r="C206" s="23">
        <v>45290</v>
      </c>
      <c r="D206" s="23">
        <v>45295</v>
      </c>
      <c r="E206" s="8" t="s">
        <v>36</v>
      </c>
      <c r="F206" s="8" t="s">
        <v>15</v>
      </c>
      <c r="G206" s="8" t="s">
        <v>29</v>
      </c>
      <c r="H206" s="8" t="s">
        <v>43</v>
      </c>
      <c r="I206" s="8" t="s">
        <v>30</v>
      </c>
      <c r="J206" s="8" t="s">
        <v>47</v>
      </c>
      <c r="K206" s="8" t="s">
        <v>32</v>
      </c>
      <c r="L206" s="8">
        <v>7</v>
      </c>
      <c r="M206" s="8">
        <v>324.38</v>
      </c>
      <c r="N206" s="8">
        <v>10</v>
      </c>
    </row>
    <row r="207" spans="1:14">
      <c r="A207" s="8">
        <v>10235</v>
      </c>
      <c r="B207" s="8">
        <v>1472</v>
      </c>
      <c r="C207" s="23">
        <v>45032</v>
      </c>
      <c r="D207" s="23">
        <v>45040</v>
      </c>
      <c r="E207" s="8" t="s">
        <v>39</v>
      </c>
      <c r="F207" s="8" t="s">
        <v>28</v>
      </c>
      <c r="G207" s="8" t="s">
        <v>16</v>
      </c>
      <c r="H207" s="8" t="s">
        <v>34</v>
      </c>
      <c r="I207" s="8" t="s">
        <v>51</v>
      </c>
      <c r="J207" s="8" t="s">
        <v>59</v>
      </c>
      <c r="K207" s="8" t="s">
        <v>46</v>
      </c>
      <c r="L207" s="8">
        <v>9</v>
      </c>
      <c r="M207" s="8">
        <v>2677.09</v>
      </c>
      <c r="N207" s="8">
        <v>10</v>
      </c>
    </row>
    <row r="208" spans="1:14">
      <c r="A208" s="8">
        <v>10238</v>
      </c>
      <c r="B208" s="8">
        <v>1224</v>
      </c>
      <c r="C208" s="23">
        <v>45089</v>
      </c>
      <c r="D208" s="23">
        <v>45093</v>
      </c>
      <c r="E208" s="8" t="s">
        <v>33</v>
      </c>
      <c r="F208" s="8" t="s">
        <v>37</v>
      </c>
      <c r="G208" s="8" t="s">
        <v>23</v>
      </c>
      <c r="H208" s="8" t="s">
        <v>34</v>
      </c>
      <c r="I208" s="8" t="s">
        <v>56</v>
      </c>
      <c r="J208" s="8" t="s">
        <v>61</v>
      </c>
      <c r="K208" s="8" t="s">
        <v>44</v>
      </c>
      <c r="L208" s="8">
        <v>8</v>
      </c>
      <c r="M208" s="8">
        <v>284.52</v>
      </c>
      <c r="N208" s="8">
        <v>15</v>
      </c>
    </row>
    <row r="209" spans="1:14">
      <c r="A209" s="8">
        <v>10239</v>
      </c>
      <c r="B209" s="8">
        <v>1384</v>
      </c>
      <c r="C209" s="23">
        <v>45146</v>
      </c>
      <c r="D209" s="23">
        <v>45149</v>
      </c>
      <c r="E209" s="8" t="s">
        <v>33</v>
      </c>
      <c r="F209" s="8" t="s">
        <v>40</v>
      </c>
      <c r="G209" s="8" t="s">
        <v>23</v>
      </c>
      <c r="H209" s="8" t="s">
        <v>24</v>
      </c>
      <c r="I209" s="8" t="s">
        <v>48</v>
      </c>
      <c r="J209" s="8" t="s">
        <v>62</v>
      </c>
      <c r="K209" s="8" t="s">
        <v>46</v>
      </c>
      <c r="L209" s="8">
        <v>2</v>
      </c>
      <c r="M209" s="8">
        <v>3960.56</v>
      </c>
      <c r="N209" s="8">
        <v>10</v>
      </c>
    </row>
    <row r="210" spans="1:14">
      <c r="A210" s="8">
        <v>10240</v>
      </c>
      <c r="B210" s="8">
        <v>1376</v>
      </c>
      <c r="C210" s="23">
        <v>45196</v>
      </c>
      <c r="D210" s="23">
        <v>45198</v>
      </c>
      <c r="E210" s="8" t="s">
        <v>15</v>
      </c>
      <c r="F210" s="8" t="s">
        <v>37</v>
      </c>
      <c r="G210" s="8" t="s">
        <v>16</v>
      </c>
      <c r="H210" s="8" t="s">
        <v>41</v>
      </c>
      <c r="I210" s="8" t="s">
        <v>56</v>
      </c>
      <c r="J210" s="8" t="s">
        <v>65</v>
      </c>
      <c r="K210" s="8" t="s">
        <v>44</v>
      </c>
      <c r="L210" s="8">
        <v>9</v>
      </c>
      <c r="M210" s="8">
        <v>265.58</v>
      </c>
      <c r="N210" s="8">
        <v>10</v>
      </c>
    </row>
    <row r="211" spans="1:14">
      <c r="A211" s="8">
        <v>10241</v>
      </c>
      <c r="B211" s="8">
        <v>1282</v>
      </c>
      <c r="C211" s="23">
        <v>45046</v>
      </c>
      <c r="D211" s="23">
        <v>45049</v>
      </c>
      <c r="E211" s="8" t="s">
        <v>39</v>
      </c>
      <c r="F211" s="8" t="s">
        <v>40</v>
      </c>
      <c r="G211" s="8" t="s">
        <v>29</v>
      </c>
      <c r="H211" s="8" t="s">
        <v>17</v>
      </c>
      <c r="I211" s="8" t="s">
        <v>18</v>
      </c>
      <c r="J211" s="8" t="s">
        <v>68</v>
      </c>
      <c r="K211" s="8" t="s">
        <v>32</v>
      </c>
      <c r="L211" s="8">
        <v>6</v>
      </c>
      <c r="M211" s="8">
        <v>1861.43</v>
      </c>
      <c r="N211" s="8">
        <v>0</v>
      </c>
    </row>
    <row r="212" spans="1:14">
      <c r="A212" s="8">
        <v>10243</v>
      </c>
      <c r="B212" s="8">
        <v>1632</v>
      </c>
      <c r="C212" s="23">
        <v>45108</v>
      </c>
      <c r="D212" s="23">
        <v>45109</v>
      </c>
      <c r="E212" s="8" t="s">
        <v>36</v>
      </c>
      <c r="F212" s="8" t="s">
        <v>22</v>
      </c>
      <c r="G212" s="8" t="s">
        <v>29</v>
      </c>
      <c r="H212" s="8" t="s">
        <v>17</v>
      </c>
      <c r="I212" s="8" t="s">
        <v>56</v>
      </c>
      <c r="J212" s="8" t="s">
        <v>58</v>
      </c>
      <c r="K212" s="8" t="s">
        <v>27</v>
      </c>
      <c r="L212" s="8">
        <v>2</v>
      </c>
      <c r="M212" s="8">
        <v>601.53</v>
      </c>
      <c r="N212" s="8">
        <v>20</v>
      </c>
    </row>
    <row r="213" spans="1:14">
      <c r="A213" s="8">
        <v>10244</v>
      </c>
      <c r="B213" s="8">
        <v>1627</v>
      </c>
      <c r="C213" s="23">
        <v>45032</v>
      </c>
      <c r="D213" s="23">
        <v>45038</v>
      </c>
      <c r="E213" s="8" t="s">
        <v>33</v>
      </c>
      <c r="F213" s="8" t="s">
        <v>28</v>
      </c>
      <c r="G213" s="8" t="s">
        <v>16</v>
      </c>
      <c r="H213" s="8" t="s">
        <v>43</v>
      </c>
      <c r="I213" s="8" t="s">
        <v>51</v>
      </c>
      <c r="J213" s="8" t="s">
        <v>52</v>
      </c>
      <c r="K213" s="8" t="s">
        <v>44</v>
      </c>
      <c r="L213" s="8">
        <v>3</v>
      </c>
      <c r="M213" s="8">
        <v>800.89</v>
      </c>
      <c r="N213" s="8">
        <v>0</v>
      </c>
    </row>
    <row r="214" spans="1:14">
      <c r="A214" s="8">
        <v>10245</v>
      </c>
      <c r="B214" s="8">
        <v>1972</v>
      </c>
      <c r="C214" s="23">
        <v>45143</v>
      </c>
      <c r="D214" s="23">
        <v>45148</v>
      </c>
      <c r="E214" s="8" t="s">
        <v>14</v>
      </c>
      <c r="F214" s="8" t="s">
        <v>15</v>
      </c>
      <c r="G214" s="8" t="s">
        <v>29</v>
      </c>
      <c r="H214" s="8" t="s">
        <v>41</v>
      </c>
      <c r="I214" s="8" t="s">
        <v>48</v>
      </c>
      <c r="J214" s="8" t="s">
        <v>50</v>
      </c>
      <c r="K214" s="8" t="s">
        <v>46</v>
      </c>
      <c r="L214" s="8">
        <v>8</v>
      </c>
      <c r="M214" s="8">
        <v>1504.45</v>
      </c>
      <c r="N214" s="8">
        <v>20</v>
      </c>
    </row>
    <row r="215" spans="1:14">
      <c r="A215" s="8">
        <v>10246</v>
      </c>
      <c r="B215" s="8">
        <v>1744</v>
      </c>
      <c r="C215" s="23">
        <v>45131</v>
      </c>
      <c r="D215" s="23">
        <v>45139</v>
      </c>
      <c r="E215" s="8" t="s">
        <v>15</v>
      </c>
      <c r="F215" s="8" t="s">
        <v>28</v>
      </c>
      <c r="G215" s="8" t="s">
        <v>23</v>
      </c>
      <c r="H215" s="8" t="s">
        <v>24</v>
      </c>
      <c r="I215" s="8" t="s">
        <v>51</v>
      </c>
      <c r="J215" s="8" t="s">
        <v>52</v>
      </c>
      <c r="K215" s="8" t="s">
        <v>44</v>
      </c>
      <c r="L215" s="8">
        <v>1</v>
      </c>
      <c r="M215" s="8">
        <v>3082.45</v>
      </c>
      <c r="N215" s="8">
        <v>5</v>
      </c>
    </row>
    <row r="216" spans="1:14">
      <c r="A216" s="8">
        <v>10247</v>
      </c>
      <c r="B216" s="8">
        <v>1258</v>
      </c>
      <c r="C216" s="23">
        <v>44996</v>
      </c>
      <c r="D216" s="23">
        <v>44998</v>
      </c>
      <c r="E216" s="8" t="s">
        <v>14</v>
      </c>
      <c r="F216" s="8" t="s">
        <v>53</v>
      </c>
      <c r="G216" s="8" t="s">
        <v>29</v>
      </c>
      <c r="H216" s="8" t="s">
        <v>34</v>
      </c>
      <c r="I216" s="8" t="s">
        <v>51</v>
      </c>
      <c r="J216" s="8" t="s">
        <v>63</v>
      </c>
      <c r="K216" s="8" t="s">
        <v>46</v>
      </c>
      <c r="L216" s="8">
        <v>7</v>
      </c>
      <c r="M216" s="8">
        <v>2102.27</v>
      </c>
      <c r="N216" s="8">
        <v>20</v>
      </c>
    </row>
    <row r="217" spans="1:14">
      <c r="A217" s="8">
        <v>10248</v>
      </c>
      <c r="B217" s="8">
        <v>1358</v>
      </c>
      <c r="C217" s="23">
        <v>44970</v>
      </c>
      <c r="D217" s="23">
        <v>44974</v>
      </c>
      <c r="E217" s="8" t="s">
        <v>21</v>
      </c>
      <c r="F217" s="8" t="s">
        <v>15</v>
      </c>
      <c r="G217" s="8" t="s">
        <v>29</v>
      </c>
      <c r="H217" s="8" t="s">
        <v>41</v>
      </c>
      <c r="I217" s="8" t="s">
        <v>30</v>
      </c>
      <c r="J217" s="8" t="s">
        <v>38</v>
      </c>
      <c r="K217" s="8" t="s">
        <v>20</v>
      </c>
      <c r="L217" s="8">
        <v>7</v>
      </c>
      <c r="M217" s="8">
        <v>2605.92</v>
      </c>
      <c r="N217" s="8">
        <v>20</v>
      </c>
    </row>
    <row r="218" spans="1:14">
      <c r="A218" s="8">
        <v>10249</v>
      </c>
      <c r="B218" s="8">
        <v>1709</v>
      </c>
      <c r="C218" s="23">
        <v>45255</v>
      </c>
      <c r="D218" s="23">
        <v>45263</v>
      </c>
      <c r="E218" s="8" t="s">
        <v>45</v>
      </c>
      <c r="F218" s="8" t="s">
        <v>40</v>
      </c>
      <c r="G218" s="8" t="s">
        <v>16</v>
      </c>
      <c r="H218" s="8" t="s">
        <v>17</v>
      </c>
      <c r="I218" s="8" t="s">
        <v>30</v>
      </c>
      <c r="J218" s="8" t="s">
        <v>64</v>
      </c>
      <c r="K218" s="8" t="s">
        <v>44</v>
      </c>
      <c r="L218" s="8">
        <v>1</v>
      </c>
      <c r="M218" s="8">
        <v>3942.92</v>
      </c>
      <c r="N218" s="8">
        <v>0</v>
      </c>
    </row>
    <row r="219" spans="1:14">
      <c r="A219" s="8">
        <v>10251</v>
      </c>
      <c r="B219" s="8">
        <v>1410</v>
      </c>
      <c r="C219" s="23">
        <v>45154</v>
      </c>
      <c r="D219" s="23">
        <v>45155</v>
      </c>
      <c r="E219" s="8" t="s">
        <v>15</v>
      </c>
      <c r="F219" s="8" t="s">
        <v>22</v>
      </c>
      <c r="G219" s="8" t="s">
        <v>16</v>
      </c>
      <c r="H219" s="8" t="s">
        <v>24</v>
      </c>
      <c r="I219" s="8" t="s">
        <v>30</v>
      </c>
      <c r="J219" s="8" t="s">
        <v>47</v>
      </c>
      <c r="K219" s="8" t="s">
        <v>27</v>
      </c>
      <c r="L219" s="8">
        <v>8</v>
      </c>
      <c r="M219" s="8">
        <v>1822.29</v>
      </c>
      <c r="N219" s="8">
        <v>20</v>
      </c>
    </row>
    <row r="220" spans="1:14">
      <c r="A220" s="8">
        <v>10252</v>
      </c>
      <c r="B220" s="8">
        <v>1648</v>
      </c>
      <c r="C220" s="23">
        <v>45110</v>
      </c>
      <c r="D220" s="23">
        <v>45114</v>
      </c>
      <c r="E220" s="8" t="s">
        <v>36</v>
      </c>
      <c r="F220" s="8" t="s">
        <v>37</v>
      </c>
      <c r="G220" s="8" t="s">
        <v>23</v>
      </c>
      <c r="H220" s="8" t="s">
        <v>41</v>
      </c>
      <c r="I220" s="8" t="s">
        <v>51</v>
      </c>
      <c r="J220" s="8" t="s">
        <v>59</v>
      </c>
      <c r="K220" s="8" t="s">
        <v>32</v>
      </c>
      <c r="L220" s="8">
        <v>4</v>
      </c>
      <c r="M220" s="8">
        <v>1868.8</v>
      </c>
      <c r="N220" s="8">
        <v>20</v>
      </c>
    </row>
    <row r="221" spans="1:14">
      <c r="A221" s="8">
        <v>10253</v>
      </c>
      <c r="B221" s="8">
        <v>1317</v>
      </c>
      <c r="C221" s="23">
        <v>45033</v>
      </c>
      <c r="D221" s="23">
        <v>45034</v>
      </c>
      <c r="E221" s="8" t="s">
        <v>39</v>
      </c>
      <c r="F221" s="8" t="s">
        <v>40</v>
      </c>
      <c r="G221" s="8" t="s">
        <v>23</v>
      </c>
      <c r="H221" s="8" t="s">
        <v>34</v>
      </c>
      <c r="I221" s="8" t="s">
        <v>18</v>
      </c>
      <c r="J221" s="8" t="s">
        <v>19</v>
      </c>
      <c r="K221" s="8" t="s">
        <v>46</v>
      </c>
      <c r="L221" s="8">
        <v>5</v>
      </c>
      <c r="M221" s="8">
        <v>2532.27</v>
      </c>
      <c r="N221" s="8">
        <v>15</v>
      </c>
    </row>
    <row r="222" spans="1:14">
      <c r="A222" s="8">
        <v>10254</v>
      </c>
      <c r="B222" s="8">
        <v>1676</v>
      </c>
      <c r="C222" s="23">
        <v>45010</v>
      </c>
      <c r="D222" s="23">
        <v>45012</v>
      </c>
      <c r="E222" s="8" t="s">
        <v>21</v>
      </c>
      <c r="F222" s="8" t="s">
        <v>15</v>
      </c>
      <c r="G222" s="8" t="s">
        <v>16</v>
      </c>
      <c r="H222" s="8" t="s">
        <v>41</v>
      </c>
      <c r="I222" s="8" t="s">
        <v>51</v>
      </c>
      <c r="J222" s="8" t="s">
        <v>63</v>
      </c>
      <c r="K222" s="8" t="s">
        <v>44</v>
      </c>
      <c r="L222" s="8">
        <v>2</v>
      </c>
      <c r="M222" s="8">
        <v>2711.66</v>
      </c>
      <c r="N222" s="8">
        <v>0</v>
      </c>
    </row>
    <row r="223" spans="1:14">
      <c r="A223" s="8">
        <v>10257</v>
      </c>
      <c r="B223" s="8">
        <v>1233</v>
      </c>
      <c r="C223" s="23">
        <v>45289</v>
      </c>
      <c r="D223" s="23">
        <v>45297</v>
      </c>
      <c r="E223" s="8" t="s">
        <v>39</v>
      </c>
      <c r="F223" s="8" t="s">
        <v>40</v>
      </c>
      <c r="G223" s="8" t="s">
        <v>23</v>
      </c>
      <c r="H223" s="8" t="s">
        <v>43</v>
      </c>
      <c r="I223" s="8" t="s">
        <v>30</v>
      </c>
      <c r="J223" s="8" t="s">
        <v>31</v>
      </c>
      <c r="K223" s="8" t="s">
        <v>46</v>
      </c>
      <c r="L223" s="8">
        <v>3</v>
      </c>
      <c r="M223" s="8">
        <v>240.6</v>
      </c>
      <c r="N223" s="8">
        <v>5</v>
      </c>
    </row>
    <row r="224" spans="1:14">
      <c r="A224" s="8">
        <v>10260</v>
      </c>
      <c r="B224" s="8">
        <v>1974</v>
      </c>
      <c r="C224" s="23">
        <v>45104</v>
      </c>
      <c r="D224" s="23">
        <v>45110</v>
      </c>
      <c r="E224" s="8" t="s">
        <v>21</v>
      </c>
      <c r="F224" s="8" t="s">
        <v>40</v>
      </c>
      <c r="G224" s="8" t="s">
        <v>16</v>
      </c>
      <c r="H224" s="8" t="s">
        <v>41</v>
      </c>
      <c r="I224" s="8" t="s">
        <v>30</v>
      </c>
      <c r="J224" s="8" t="s">
        <v>64</v>
      </c>
      <c r="K224" s="8" t="s">
        <v>27</v>
      </c>
      <c r="L224" s="8">
        <v>3</v>
      </c>
      <c r="M224" s="8">
        <v>647.32000000000005</v>
      </c>
      <c r="N224" s="8">
        <v>5</v>
      </c>
    </row>
    <row r="225" spans="1:14">
      <c r="A225" s="8">
        <v>10261</v>
      </c>
      <c r="B225" s="8">
        <v>1826</v>
      </c>
      <c r="C225" s="23">
        <v>44933</v>
      </c>
      <c r="D225" s="23">
        <v>44936</v>
      </c>
      <c r="E225" s="8" t="s">
        <v>14</v>
      </c>
      <c r="F225" s="8" t="s">
        <v>53</v>
      </c>
      <c r="G225" s="8" t="s">
        <v>23</v>
      </c>
      <c r="H225" s="8" t="s">
        <v>24</v>
      </c>
      <c r="I225" s="8" t="s">
        <v>30</v>
      </c>
      <c r="J225" s="8" t="s">
        <v>31</v>
      </c>
      <c r="K225" s="8" t="s">
        <v>32</v>
      </c>
      <c r="L225" s="8">
        <v>2</v>
      </c>
      <c r="M225" s="8">
        <v>533.25</v>
      </c>
      <c r="N225" s="8">
        <v>0</v>
      </c>
    </row>
    <row r="226" spans="1:14">
      <c r="A226" s="8">
        <v>10262</v>
      </c>
      <c r="B226" s="8">
        <v>1373</v>
      </c>
      <c r="C226" s="23">
        <v>44996</v>
      </c>
      <c r="D226" s="23">
        <v>44998</v>
      </c>
      <c r="E226" s="8" t="s">
        <v>14</v>
      </c>
      <c r="F226" s="8" t="s">
        <v>22</v>
      </c>
      <c r="G226" s="8" t="s">
        <v>16</v>
      </c>
      <c r="H226" s="8" t="s">
        <v>43</v>
      </c>
      <c r="I226" s="8" t="s">
        <v>56</v>
      </c>
      <c r="J226" s="8" t="s">
        <v>58</v>
      </c>
      <c r="K226" s="8" t="s">
        <v>20</v>
      </c>
      <c r="L226" s="8">
        <v>7</v>
      </c>
      <c r="M226" s="8">
        <v>2472.29</v>
      </c>
      <c r="N226" s="8">
        <v>10</v>
      </c>
    </row>
    <row r="227" spans="1:14">
      <c r="A227" s="8">
        <v>10263</v>
      </c>
      <c r="B227" s="8">
        <v>1671</v>
      </c>
      <c r="C227" s="23">
        <v>45053</v>
      </c>
      <c r="D227" s="23">
        <v>45059</v>
      </c>
      <c r="E227" s="8" t="s">
        <v>39</v>
      </c>
      <c r="F227" s="8" t="s">
        <v>37</v>
      </c>
      <c r="G227" s="8" t="s">
        <v>29</v>
      </c>
      <c r="H227" s="8" t="s">
        <v>34</v>
      </c>
      <c r="I227" s="8" t="s">
        <v>48</v>
      </c>
      <c r="J227" s="8" t="s">
        <v>62</v>
      </c>
      <c r="K227" s="8" t="s">
        <v>32</v>
      </c>
      <c r="L227" s="8">
        <v>7</v>
      </c>
      <c r="M227" s="8">
        <v>2165.86</v>
      </c>
      <c r="N227" s="8">
        <v>0</v>
      </c>
    </row>
    <row r="228" spans="1:14">
      <c r="A228" s="8">
        <v>10264</v>
      </c>
      <c r="B228" s="8">
        <v>1607</v>
      </c>
      <c r="C228" s="23">
        <v>45086</v>
      </c>
      <c r="D228" s="23">
        <v>45091</v>
      </c>
      <c r="E228" s="8" t="s">
        <v>14</v>
      </c>
      <c r="F228" s="8" t="s">
        <v>15</v>
      </c>
      <c r="G228" s="8" t="s">
        <v>29</v>
      </c>
      <c r="H228" s="8" t="s">
        <v>43</v>
      </c>
      <c r="I228" s="8" t="s">
        <v>51</v>
      </c>
      <c r="J228" s="8" t="s">
        <v>59</v>
      </c>
      <c r="K228" s="8" t="s">
        <v>46</v>
      </c>
      <c r="L228" s="8">
        <v>4</v>
      </c>
      <c r="M228" s="8">
        <v>1126.3</v>
      </c>
      <c r="N228" s="8">
        <v>20</v>
      </c>
    </row>
    <row r="229" spans="1:14">
      <c r="A229" s="8">
        <v>10266</v>
      </c>
      <c r="B229" s="8">
        <v>1232</v>
      </c>
      <c r="C229" s="23">
        <v>45129</v>
      </c>
      <c r="D229" s="23">
        <v>45134</v>
      </c>
      <c r="E229" s="8" t="s">
        <v>39</v>
      </c>
      <c r="F229" s="8" t="s">
        <v>15</v>
      </c>
      <c r="G229" s="8" t="s">
        <v>29</v>
      </c>
      <c r="H229" s="8" t="s">
        <v>34</v>
      </c>
      <c r="I229" s="8" t="s">
        <v>25</v>
      </c>
      <c r="J229" s="8" t="s">
        <v>60</v>
      </c>
      <c r="K229" s="8" t="s">
        <v>32</v>
      </c>
      <c r="L229" s="8">
        <v>8</v>
      </c>
      <c r="M229" s="8">
        <v>2045.09</v>
      </c>
      <c r="N229" s="8">
        <v>10</v>
      </c>
    </row>
    <row r="230" spans="1:14">
      <c r="A230" s="8">
        <v>10267</v>
      </c>
      <c r="B230" s="8">
        <v>1691</v>
      </c>
      <c r="C230" s="23">
        <v>45074</v>
      </c>
      <c r="D230" s="23">
        <v>45079</v>
      </c>
      <c r="E230" s="8" t="s">
        <v>39</v>
      </c>
      <c r="F230" s="8" t="s">
        <v>37</v>
      </c>
      <c r="G230" s="8" t="s">
        <v>29</v>
      </c>
      <c r="H230" s="8" t="s">
        <v>43</v>
      </c>
      <c r="I230" s="8" t="s">
        <v>51</v>
      </c>
      <c r="J230" s="8" t="s">
        <v>52</v>
      </c>
      <c r="K230" s="8" t="s">
        <v>46</v>
      </c>
      <c r="L230" s="8">
        <v>1</v>
      </c>
      <c r="M230" s="8">
        <v>900.78</v>
      </c>
      <c r="N230" s="8">
        <v>5</v>
      </c>
    </row>
    <row r="231" spans="1:14">
      <c r="A231" s="8">
        <v>10268</v>
      </c>
      <c r="B231" s="8">
        <v>1112</v>
      </c>
      <c r="C231" s="23">
        <v>45069</v>
      </c>
      <c r="D231" s="23">
        <v>45072</v>
      </c>
      <c r="E231" s="8" t="s">
        <v>36</v>
      </c>
      <c r="F231" s="8" t="s">
        <v>15</v>
      </c>
      <c r="G231" s="8" t="s">
        <v>29</v>
      </c>
      <c r="H231" s="8" t="s">
        <v>41</v>
      </c>
      <c r="I231" s="8" t="s">
        <v>30</v>
      </c>
      <c r="J231" s="8" t="s">
        <v>38</v>
      </c>
      <c r="K231" s="8" t="s">
        <v>27</v>
      </c>
      <c r="L231" s="8">
        <v>1</v>
      </c>
      <c r="M231" s="8">
        <v>2660.56</v>
      </c>
      <c r="N231" s="8">
        <v>10</v>
      </c>
    </row>
    <row r="232" spans="1:14">
      <c r="A232" s="8">
        <v>10269</v>
      </c>
      <c r="B232" s="8">
        <v>1829</v>
      </c>
      <c r="C232" s="23">
        <v>45125</v>
      </c>
      <c r="D232" s="23">
        <v>45132</v>
      </c>
      <c r="E232" s="8" t="s">
        <v>14</v>
      </c>
      <c r="F232" s="8" t="s">
        <v>40</v>
      </c>
      <c r="G232" s="8" t="s">
        <v>23</v>
      </c>
      <c r="H232" s="8" t="s">
        <v>34</v>
      </c>
      <c r="I232" s="8" t="s">
        <v>48</v>
      </c>
      <c r="J232" s="8" t="s">
        <v>50</v>
      </c>
      <c r="K232" s="8" t="s">
        <v>46</v>
      </c>
      <c r="L232" s="8">
        <v>5</v>
      </c>
      <c r="M232" s="8">
        <v>3156.54</v>
      </c>
      <c r="N232" s="8">
        <v>20</v>
      </c>
    </row>
    <row r="233" spans="1:14">
      <c r="A233" s="8">
        <v>10270</v>
      </c>
      <c r="B233" s="8">
        <v>1496</v>
      </c>
      <c r="C233" s="23">
        <v>45080</v>
      </c>
      <c r="D233" s="23">
        <v>45086</v>
      </c>
      <c r="E233" s="8" t="s">
        <v>21</v>
      </c>
      <c r="F233" s="8" t="s">
        <v>28</v>
      </c>
      <c r="G233" s="8" t="s">
        <v>23</v>
      </c>
      <c r="H233" s="8" t="s">
        <v>34</v>
      </c>
      <c r="I233" s="8" t="s">
        <v>30</v>
      </c>
      <c r="J233" s="8" t="s">
        <v>64</v>
      </c>
      <c r="K233" s="8" t="s">
        <v>44</v>
      </c>
      <c r="L233" s="8">
        <v>6</v>
      </c>
      <c r="M233" s="8">
        <v>3197.13</v>
      </c>
      <c r="N233" s="8">
        <v>10</v>
      </c>
    </row>
    <row r="234" spans="1:14">
      <c r="A234" s="8">
        <v>10271</v>
      </c>
      <c r="B234" s="8">
        <v>1441</v>
      </c>
      <c r="C234" s="23">
        <v>45068</v>
      </c>
      <c r="D234" s="23">
        <v>45072</v>
      </c>
      <c r="E234" s="8" t="s">
        <v>39</v>
      </c>
      <c r="F234" s="8" t="s">
        <v>15</v>
      </c>
      <c r="G234" s="8" t="s">
        <v>29</v>
      </c>
      <c r="H234" s="8" t="s">
        <v>24</v>
      </c>
      <c r="I234" s="8" t="s">
        <v>18</v>
      </c>
      <c r="J234" s="8" t="s">
        <v>68</v>
      </c>
      <c r="K234" s="8" t="s">
        <v>46</v>
      </c>
      <c r="L234" s="8">
        <v>3</v>
      </c>
      <c r="M234" s="8">
        <v>2469.5100000000002</v>
      </c>
      <c r="N234" s="8">
        <v>0</v>
      </c>
    </row>
    <row r="235" spans="1:14">
      <c r="A235" s="8">
        <v>10273</v>
      </c>
      <c r="B235" s="8">
        <v>1267</v>
      </c>
      <c r="C235" s="23">
        <v>45091</v>
      </c>
      <c r="D235" s="23">
        <v>45100</v>
      </c>
      <c r="E235" s="8" t="s">
        <v>45</v>
      </c>
      <c r="F235" s="8" t="s">
        <v>53</v>
      </c>
      <c r="G235" s="8" t="s">
        <v>29</v>
      </c>
      <c r="H235" s="8" t="s">
        <v>17</v>
      </c>
      <c r="I235" s="8" t="s">
        <v>30</v>
      </c>
      <c r="J235" s="8" t="s">
        <v>38</v>
      </c>
      <c r="K235" s="8" t="s">
        <v>44</v>
      </c>
      <c r="L235" s="8">
        <v>6</v>
      </c>
      <c r="M235" s="8">
        <v>384.88</v>
      </c>
      <c r="N235" s="8">
        <v>5</v>
      </c>
    </row>
    <row r="236" spans="1:14">
      <c r="A236" s="8">
        <v>10274</v>
      </c>
      <c r="B236" s="8">
        <v>1509</v>
      </c>
      <c r="C236" s="23">
        <v>45240</v>
      </c>
      <c r="D236" s="23">
        <v>45241</v>
      </c>
      <c r="E236" s="8" t="s">
        <v>36</v>
      </c>
      <c r="F236" s="8" t="s">
        <v>15</v>
      </c>
      <c r="G236" s="8" t="s">
        <v>23</v>
      </c>
      <c r="H236" s="8" t="s">
        <v>43</v>
      </c>
      <c r="I236" s="8" t="s">
        <v>51</v>
      </c>
      <c r="J236" s="8" t="s">
        <v>59</v>
      </c>
      <c r="K236" s="8" t="s">
        <v>32</v>
      </c>
      <c r="L236" s="8">
        <v>4</v>
      </c>
      <c r="M236" s="8">
        <v>1258.1500000000001</v>
      </c>
      <c r="N236" s="8">
        <v>0</v>
      </c>
    </row>
    <row r="237" spans="1:14">
      <c r="A237" s="8">
        <v>10275</v>
      </c>
      <c r="B237" s="8">
        <v>1806</v>
      </c>
      <c r="C237" s="23">
        <v>44947</v>
      </c>
      <c r="D237" s="23">
        <v>44951</v>
      </c>
      <c r="E237" s="8" t="s">
        <v>15</v>
      </c>
      <c r="F237" s="8" t="s">
        <v>53</v>
      </c>
      <c r="G237" s="8" t="s">
        <v>23</v>
      </c>
      <c r="H237" s="8" t="s">
        <v>24</v>
      </c>
      <c r="I237" s="8" t="s">
        <v>51</v>
      </c>
      <c r="J237" s="8" t="s">
        <v>63</v>
      </c>
      <c r="K237" s="8" t="s">
        <v>32</v>
      </c>
      <c r="L237" s="8">
        <v>7</v>
      </c>
      <c r="M237" s="8">
        <v>509.1</v>
      </c>
      <c r="N237" s="8">
        <v>15</v>
      </c>
    </row>
    <row r="238" spans="1:14">
      <c r="A238" s="8">
        <v>10277</v>
      </c>
      <c r="B238" s="8">
        <v>1386</v>
      </c>
      <c r="C238" s="23">
        <v>44995</v>
      </c>
      <c r="D238" s="23">
        <v>45001</v>
      </c>
      <c r="E238" s="8" t="s">
        <v>39</v>
      </c>
      <c r="F238" s="8" t="s">
        <v>40</v>
      </c>
      <c r="G238" s="8" t="s">
        <v>29</v>
      </c>
      <c r="H238" s="8" t="s">
        <v>17</v>
      </c>
      <c r="I238" s="8" t="s">
        <v>25</v>
      </c>
      <c r="J238" s="8" t="s">
        <v>67</v>
      </c>
      <c r="K238" s="8" t="s">
        <v>44</v>
      </c>
      <c r="L238" s="8">
        <v>9</v>
      </c>
      <c r="M238" s="8">
        <v>670.06</v>
      </c>
      <c r="N238" s="8">
        <v>20</v>
      </c>
    </row>
    <row r="239" spans="1:14">
      <c r="A239" s="8">
        <v>10280</v>
      </c>
      <c r="B239" s="8">
        <v>1624</v>
      </c>
      <c r="C239" s="23">
        <v>45144</v>
      </c>
      <c r="D239" s="23">
        <v>45149</v>
      </c>
      <c r="E239" s="8" t="s">
        <v>45</v>
      </c>
      <c r="F239" s="8" t="s">
        <v>40</v>
      </c>
      <c r="G239" s="8" t="s">
        <v>23</v>
      </c>
      <c r="H239" s="8" t="s">
        <v>17</v>
      </c>
      <c r="I239" s="8" t="s">
        <v>48</v>
      </c>
      <c r="J239" s="8" t="s">
        <v>66</v>
      </c>
      <c r="K239" s="8" t="s">
        <v>32</v>
      </c>
      <c r="L239" s="8">
        <v>8</v>
      </c>
      <c r="M239" s="8">
        <v>3784.12</v>
      </c>
      <c r="N239" s="8">
        <v>15</v>
      </c>
    </row>
    <row r="240" spans="1:14">
      <c r="A240" s="8">
        <v>10281</v>
      </c>
      <c r="B240" s="8">
        <v>1951</v>
      </c>
      <c r="C240" s="23">
        <v>45231</v>
      </c>
      <c r="D240" s="23">
        <v>45240</v>
      </c>
      <c r="E240" s="8" t="s">
        <v>45</v>
      </c>
      <c r="F240" s="8" t="s">
        <v>53</v>
      </c>
      <c r="G240" s="8" t="s">
        <v>29</v>
      </c>
      <c r="H240" s="8" t="s">
        <v>43</v>
      </c>
      <c r="I240" s="8" t="s">
        <v>25</v>
      </c>
      <c r="J240" s="8" t="s">
        <v>67</v>
      </c>
      <c r="K240" s="8" t="s">
        <v>20</v>
      </c>
      <c r="L240" s="8">
        <v>5</v>
      </c>
      <c r="M240" s="8">
        <v>3098.44</v>
      </c>
      <c r="N240" s="8">
        <v>0</v>
      </c>
    </row>
    <row r="241" spans="1:14">
      <c r="A241" s="8">
        <v>10286</v>
      </c>
      <c r="B241" s="8">
        <v>1641</v>
      </c>
      <c r="C241" s="23">
        <v>45043</v>
      </c>
      <c r="D241" s="23">
        <v>45050</v>
      </c>
      <c r="E241" s="8" t="s">
        <v>14</v>
      </c>
      <c r="F241" s="8" t="s">
        <v>28</v>
      </c>
      <c r="G241" s="8" t="s">
        <v>16</v>
      </c>
      <c r="H241" s="8" t="s">
        <v>43</v>
      </c>
      <c r="I241" s="8" t="s">
        <v>56</v>
      </c>
      <c r="J241" s="8" t="s">
        <v>57</v>
      </c>
      <c r="K241" s="8" t="s">
        <v>27</v>
      </c>
      <c r="L241" s="8">
        <v>6</v>
      </c>
      <c r="M241" s="8">
        <v>220.79</v>
      </c>
      <c r="N241" s="8">
        <v>5</v>
      </c>
    </row>
    <row r="242" spans="1:14">
      <c r="A242" s="8">
        <v>10287</v>
      </c>
      <c r="B242" s="8">
        <v>1219</v>
      </c>
      <c r="C242" s="23">
        <v>45122</v>
      </c>
      <c r="D242" s="23">
        <v>45125</v>
      </c>
      <c r="E242" s="8" t="s">
        <v>21</v>
      </c>
      <c r="F242" s="8" t="s">
        <v>37</v>
      </c>
      <c r="G242" s="8" t="s">
        <v>23</v>
      </c>
      <c r="H242" s="8" t="s">
        <v>17</v>
      </c>
      <c r="I242" s="8" t="s">
        <v>56</v>
      </c>
      <c r="J242" s="8" t="s">
        <v>65</v>
      </c>
      <c r="K242" s="8" t="s">
        <v>20</v>
      </c>
      <c r="L242" s="8">
        <v>6</v>
      </c>
      <c r="M242" s="8">
        <v>1936.66</v>
      </c>
      <c r="N242" s="8">
        <v>0</v>
      </c>
    </row>
    <row r="243" spans="1:14">
      <c r="A243" s="8">
        <v>10289</v>
      </c>
      <c r="B243" s="8">
        <v>1854</v>
      </c>
      <c r="C243" s="23">
        <v>45012</v>
      </c>
      <c r="D243" s="23">
        <v>45014</v>
      </c>
      <c r="E243" s="8" t="s">
        <v>36</v>
      </c>
      <c r="F243" s="8" t="s">
        <v>53</v>
      </c>
      <c r="G243" s="8" t="s">
        <v>16</v>
      </c>
      <c r="H243" s="8" t="s">
        <v>24</v>
      </c>
      <c r="I243" s="8" t="s">
        <v>56</v>
      </c>
      <c r="J243" s="8" t="s">
        <v>57</v>
      </c>
      <c r="K243" s="8" t="s">
        <v>20</v>
      </c>
      <c r="L243" s="8">
        <v>7</v>
      </c>
      <c r="M243" s="8">
        <v>1396.71</v>
      </c>
      <c r="N243" s="8">
        <v>20</v>
      </c>
    </row>
    <row r="244" spans="1:14">
      <c r="A244" s="8">
        <v>10290</v>
      </c>
      <c r="B244" s="8">
        <v>1996</v>
      </c>
      <c r="C244" s="23">
        <v>45215</v>
      </c>
      <c r="D244" s="23">
        <v>45218</v>
      </c>
      <c r="E244" s="8" t="s">
        <v>36</v>
      </c>
      <c r="F244" s="8" t="s">
        <v>40</v>
      </c>
      <c r="G244" s="8" t="s">
        <v>29</v>
      </c>
      <c r="H244" s="8" t="s">
        <v>17</v>
      </c>
      <c r="I244" s="8" t="s">
        <v>18</v>
      </c>
      <c r="J244" s="8" t="s">
        <v>19</v>
      </c>
      <c r="K244" s="8" t="s">
        <v>27</v>
      </c>
      <c r="L244" s="8">
        <v>8</v>
      </c>
      <c r="M244" s="8">
        <v>2695.39</v>
      </c>
      <c r="N244" s="8">
        <v>10</v>
      </c>
    </row>
    <row r="245" spans="1:14">
      <c r="A245" s="8">
        <v>10291</v>
      </c>
      <c r="B245" s="8">
        <v>1735</v>
      </c>
      <c r="C245" s="23">
        <v>45007</v>
      </c>
      <c r="D245" s="23">
        <v>45008</v>
      </c>
      <c r="E245" s="8" t="s">
        <v>14</v>
      </c>
      <c r="F245" s="8" t="s">
        <v>53</v>
      </c>
      <c r="G245" s="8" t="s">
        <v>23</v>
      </c>
      <c r="H245" s="8" t="s">
        <v>24</v>
      </c>
      <c r="I245" s="8" t="s">
        <v>51</v>
      </c>
      <c r="J245" s="8" t="s">
        <v>52</v>
      </c>
      <c r="K245" s="8" t="s">
        <v>32</v>
      </c>
      <c r="L245" s="8">
        <v>9</v>
      </c>
      <c r="M245" s="8">
        <v>2661.11</v>
      </c>
      <c r="N245" s="8">
        <v>10</v>
      </c>
    </row>
    <row r="246" spans="1:14">
      <c r="A246" s="8">
        <v>10294</v>
      </c>
      <c r="B246" s="8">
        <v>1402</v>
      </c>
      <c r="C246" s="23">
        <v>44987</v>
      </c>
      <c r="D246" s="23">
        <v>44994</v>
      </c>
      <c r="E246" s="8" t="s">
        <v>21</v>
      </c>
      <c r="F246" s="8" t="s">
        <v>15</v>
      </c>
      <c r="G246" s="8" t="s">
        <v>23</v>
      </c>
      <c r="H246" s="8" t="s">
        <v>34</v>
      </c>
      <c r="I246" s="8" t="s">
        <v>18</v>
      </c>
      <c r="J246" s="8" t="s">
        <v>42</v>
      </c>
      <c r="K246" s="8" t="s">
        <v>44</v>
      </c>
      <c r="L246" s="8">
        <v>3</v>
      </c>
      <c r="M246" s="8">
        <v>967.49</v>
      </c>
      <c r="N246" s="8">
        <v>0</v>
      </c>
    </row>
    <row r="247" spans="1:14">
      <c r="A247" s="8">
        <v>10295</v>
      </c>
      <c r="B247" s="8">
        <v>1637</v>
      </c>
      <c r="C247" s="23">
        <v>45280</v>
      </c>
      <c r="D247" s="23">
        <v>45284</v>
      </c>
      <c r="E247" s="8" t="s">
        <v>33</v>
      </c>
      <c r="F247" s="8" t="s">
        <v>22</v>
      </c>
      <c r="G247" s="8" t="s">
        <v>23</v>
      </c>
      <c r="H247" s="8" t="s">
        <v>41</v>
      </c>
      <c r="I247" s="8" t="s">
        <v>30</v>
      </c>
      <c r="J247" s="8" t="s">
        <v>47</v>
      </c>
      <c r="K247" s="8" t="s">
        <v>32</v>
      </c>
      <c r="L247" s="8">
        <v>1</v>
      </c>
      <c r="M247" s="8">
        <v>619.73</v>
      </c>
      <c r="N247" s="8">
        <v>0</v>
      </c>
    </row>
    <row r="248" spans="1:14">
      <c r="A248" s="8">
        <v>10296</v>
      </c>
      <c r="B248" s="8">
        <v>1129</v>
      </c>
      <c r="C248" s="23">
        <v>44954</v>
      </c>
      <c r="D248" s="23">
        <v>44957</v>
      </c>
      <c r="E248" s="8" t="s">
        <v>15</v>
      </c>
      <c r="F248" s="8" t="s">
        <v>15</v>
      </c>
      <c r="G248" s="8" t="s">
        <v>16</v>
      </c>
      <c r="H248" s="8" t="s">
        <v>34</v>
      </c>
      <c r="I248" s="8" t="s">
        <v>30</v>
      </c>
      <c r="J248" s="8" t="s">
        <v>47</v>
      </c>
      <c r="K248" s="8" t="s">
        <v>46</v>
      </c>
      <c r="L248" s="8">
        <v>5</v>
      </c>
      <c r="M248" s="8">
        <v>2850.33</v>
      </c>
      <c r="N248" s="8">
        <v>5</v>
      </c>
    </row>
    <row r="249" spans="1:14">
      <c r="A249" s="8">
        <v>10302</v>
      </c>
      <c r="B249" s="8">
        <v>1415</v>
      </c>
      <c r="C249" s="23">
        <v>45024</v>
      </c>
      <c r="D249" s="23">
        <v>45027</v>
      </c>
      <c r="E249" s="8" t="s">
        <v>15</v>
      </c>
      <c r="F249" s="8" t="s">
        <v>28</v>
      </c>
      <c r="G249" s="8" t="s">
        <v>23</v>
      </c>
      <c r="H249" s="8" t="s">
        <v>17</v>
      </c>
      <c r="I249" s="8" t="s">
        <v>30</v>
      </c>
      <c r="J249" s="8" t="s">
        <v>64</v>
      </c>
      <c r="K249" s="8" t="s">
        <v>32</v>
      </c>
      <c r="L249" s="8">
        <v>7</v>
      </c>
      <c r="M249" s="8">
        <v>636.59</v>
      </c>
      <c r="N249" s="8">
        <v>5</v>
      </c>
    </row>
    <row r="250" spans="1:14">
      <c r="A250" s="8">
        <v>10303</v>
      </c>
      <c r="B250" s="8">
        <v>1246</v>
      </c>
      <c r="C250" s="23">
        <v>45124</v>
      </c>
      <c r="D250" s="23">
        <v>45125</v>
      </c>
      <c r="E250" s="8" t="s">
        <v>36</v>
      </c>
      <c r="F250" s="8" t="s">
        <v>28</v>
      </c>
      <c r="G250" s="8" t="s">
        <v>16</v>
      </c>
      <c r="H250" s="8" t="s">
        <v>24</v>
      </c>
      <c r="I250" s="8" t="s">
        <v>56</v>
      </c>
      <c r="J250" s="8" t="s">
        <v>65</v>
      </c>
      <c r="K250" s="8" t="s">
        <v>20</v>
      </c>
      <c r="L250" s="8">
        <v>6</v>
      </c>
      <c r="M250" s="8">
        <v>257.2</v>
      </c>
      <c r="N250" s="8">
        <v>0</v>
      </c>
    </row>
    <row r="251" spans="1:14">
      <c r="A251" s="8">
        <v>10304</v>
      </c>
      <c r="B251" s="8">
        <v>1835</v>
      </c>
      <c r="C251" s="23">
        <v>45024</v>
      </c>
      <c r="D251" s="23">
        <v>45027</v>
      </c>
      <c r="E251" s="8" t="s">
        <v>39</v>
      </c>
      <c r="F251" s="8" t="s">
        <v>22</v>
      </c>
      <c r="G251" s="8" t="s">
        <v>23</v>
      </c>
      <c r="H251" s="8" t="s">
        <v>24</v>
      </c>
      <c r="I251" s="8" t="s">
        <v>25</v>
      </c>
      <c r="J251" s="8" t="s">
        <v>60</v>
      </c>
      <c r="K251" s="8" t="s">
        <v>20</v>
      </c>
      <c r="L251" s="8">
        <v>4</v>
      </c>
      <c r="M251" s="8">
        <v>2547.52</v>
      </c>
      <c r="N251" s="8">
        <v>20</v>
      </c>
    </row>
    <row r="252" spans="1:14">
      <c r="A252" s="8">
        <v>10305</v>
      </c>
      <c r="B252" s="8">
        <v>1438</v>
      </c>
      <c r="C252" s="23">
        <v>44991</v>
      </c>
      <c r="D252" s="23">
        <v>44993</v>
      </c>
      <c r="E252" s="8" t="s">
        <v>45</v>
      </c>
      <c r="F252" s="8" t="s">
        <v>40</v>
      </c>
      <c r="G252" s="8" t="s">
        <v>16</v>
      </c>
      <c r="H252" s="8" t="s">
        <v>34</v>
      </c>
      <c r="I252" s="8" t="s">
        <v>30</v>
      </c>
      <c r="J252" s="8" t="s">
        <v>47</v>
      </c>
      <c r="K252" s="8" t="s">
        <v>20</v>
      </c>
      <c r="L252" s="8">
        <v>2</v>
      </c>
      <c r="M252" s="8">
        <v>3256.02</v>
      </c>
      <c r="N252" s="8">
        <v>20</v>
      </c>
    </row>
    <row r="253" spans="1:14">
      <c r="A253" s="8">
        <v>10306</v>
      </c>
      <c r="B253" s="8">
        <v>1202</v>
      </c>
      <c r="C253" s="23">
        <v>45256</v>
      </c>
      <c r="D253" s="23">
        <v>45264</v>
      </c>
      <c r="E253" s="8" t="s">
        <v>45</v>
      </c>
      <c r="F253" s="8" t="s">
        <v>28</v>
      </c>
      <c r="G253" s="8" t="s">
        <v>29</v>
      </c>
      <c r="H253" s="8" t="s">
        <v>41</v>
      </c>
      <c r="I253" s="8" t="s">
        <v>56</v>
      </c>
      <c r="J253" s="8" t="s">
        <v>61</v>
      </c>
      <c r="K253" s="8" t="s">
        <v>27</v>
      </c>
      <c r="L253" s="8">
        <v>1</v>
      </c>
      <c r="M253" s="8">
        <v>3391.76</v>
      </c>
      <c r="N253" s="8">
        <v>20</v>
      </c>
    </row>
    <row r="254" spans="1:14">
      <c r="A254" s="8">
        <v>10307</v>
      </c>
      <c r="B254" s="8">
        <v>1183</v>
      </c>
      <c r="C254" s="23">
        <v>45267</v>
      </c>
      <c r="D254" s="23">
        <v>45273</v>
      </c>
      <c r="E254" s="8" t="s">
        <v>14</v>
      </c>
      <c r="F254" s="8" t="s">
        <v>15</v>
      </c>
      <c r="G254" s="8" t="s">
        <v>23</v>
      </c>
      <c r="H254" s="8" t="s">
        <v>41</v>
      </c>
      <c r="I254" s="8" t="s">
        <v>56</v>
      </c>
      <c r="J254" s="8" t="s">
        <v>57</v>
      </c>
      <c r="K254" s="8" t="s">
        <v>27</v>
      </c>
      <c r="L254" s="8">
        <v>4</v>
      </c>
      <c r="M254" s="8">
        <v>2008.45</v>
      </c>
      <c r="N254" s="8">
        <v>5</v>
      </c>
    </row>
    <row r="255" spans="1:14">
      <c r="A255" s="8">
        <v>10308</v>
      </c>
      <c r="B255" s="8">
        <v>1122</v>
      </c>
      <c r="C255" s="23">
        <v>44931</v>
      </c>
      <c r="D255" s="23">
        <v>44940</v>
      </c>
      <c r="E255" s="8" t="s">
        <v>36</v>
      </c>
      <c r="F255" s="8" t="s">
        <v>22</v>
      </c>
      <c r="G255" s="8" t="s">
        <v>29</v>
      </c>
      <c r="H255" s="8" t="s">
        <v>24</v>
      </c>
      <c r="I255" s="8" t="s">
        <v>51</v>
      </c>
      <c r="J255" s="8" t="s">
        <v>52</v>
      </c>
      <c r="K255" s="8" t="s">
        <v>44</v>
      </c>
      <c r="L255" s="8">
        <v>4</v>
      </c>
      <c r="M255" s="8">
        <v>3143.2</v>
      </c>
      <c r="N255" s="8">
        <v>0</v>
      </c>
    </row>
    <row r="256" spans="1:14">
      <c r="A256" s="8">
        <v>10309</v>
      </c>
      <c r="B256" s="8">
        <v>1400</v>
      </c>
      <c r="C256" s="23">
        <v>44928</v>
      </c>
      <c r="D256" s="23">
        <v>44936</v>
      </c>
      <c r="E256" s="8" t="s">
        <v>33</v>
      </c>
      <c r="F256" s="8" t="s">
        <v>28</v>
      </c>
      <c r="G256" s="8" t="s">
        <v>29</v>
      </c>
      <c r="H256" s="8" t="s">
        <v>43</v>
      </c>
      <c r="I256" s="8" t="s">
        <v>48</v>
      </c>
      <c r="J256" s="8" t="s">
        <v>50</v>
      </c>
      <c r="K256" s="8" t="s">
        <v>46</v>
      </c>
      <c r="L256" s="8">
        <v>1</v>
      </c>
      <c r="M256" s="8">
        <v>2740.46</v>
      </c>
      <c r="N256" s="8">
        <v>10</v>
      </c>
    </row>
    <row r="257" spans="1:14">
      <c r="A257" s="8">
        <v>10311</v>
      </c>
      <c r="B257" s="8">
        <v>1293</v>
      </c>
      <c r="C257" s="23">
        <v>45038</v>
      </c>
      <c r="D257" s="23">
        <v>45043</v>
      </c>
      <c r="E257" s="8" t="s">
        <v>45</v>
      </c>
      <c r="F257" s="8" t="s">
        <v>22</v>
      </c>
      <c r="G257" s="8" t="s">
        <v>23</v>
      </c>
      <c r="H257" s="8" t="s">
        <v>17</v>
      </c>
      <c r="I257" s="8" t="s">
        <v>18</v>
      </c>
      <c r="J257" s="8" t="s">
        <v>42</v>
      </c>
      <c r="K257" s="8" t="s">
        <v>32</v>
      </c>
      <c r="L257" s="8">
        <v>4</v>
      </c>
      <c r="M257" s="8">
        <v>2046.51</v>
      </c>
      <c r="N257" s="8">
        <v>5</v>
      </c>
    </row>
    <row r="258" spans="1:14">
      <c r="A258" s="8">
        <v>10312</v>
      </c>
      <c r="B258" s="8">
        <v>1279</v>
      </c>
      <c r="C258" s="23">
        <v>44983</v>
      </c>
      <c r="D258" s="23">
        <v>44990</v>
      </c>
      <c r="E258" s="8" t="s">
        <v>45</v>
      </c>
      <c r="F258" s="8" t="s">
        <v>37</v>
      </c>
      <c r="G258" s="8" t="s">
        <v>29</v>
      </c>
      <c r="H258" s="8" t="s">
        <v>17</v>
      </c>
      <c r="I258" s="8" t="s">
        <v>51</v>
      </c>
      <c r="J258" s="8" t="s">
        <v>55</v>
      </c>
      <c r="K258" s="8" t="s">
        <v>32</v>
      </c>
      <c r="L258" s="8">
        <v>1</v>
      </c>
      <c r="M258" s="8">
        <v>2588.64</v>
      </c>
      <c r="N258" s="8">
        <v>0</v>
      </c>
    </row>
    <row r="259" spans="1:14">
      <c r="A259" s="8">
        <v>10313</v>
      </c>
      <c r="B259" s="8">
        <v>1836</v>
      </c>
      <c r="C259" s="23">
        <v>44992</v>
      </c>
      <c r="D259" s="23">
        <v>44997</v>
      </c>
      <c r="E259" s="8" t="s">
        <v>39</v>
      </c>
      <c r="F259" s="8" t="s">
        <v>40</v>
      </c>
      <c r="G259" s="8" t="s">
        <v>16</v>
      </c>
      <c r="H259" s="8" t="s">
        <v>34</v>
      </c>
      <c r="I259" s="8" t="s">
        <v>56</v>
      </c>
      <c r="J259" s="8" t="s">
        <v>61</v>
      </c>
      <c r="K259" s="8" t="s">
        <v>44</v>
      </c>
      <c r="L259" s="8">
        <v>1</v>
      </c>
      <c r="M259" s="8">
        <v>3251.27</v>
      </c>
      <c r="N259" s="8">
        <v>15</v>
      </c>
    </row>
    <row r="260" spans="1:14">
      <c r="A260" s="8">
        <v>10314</v>
      </c>
      <c r="B260" s="8">
        <v>1883</v>
      </c>
      <c r="C260" s="23">
        <v>45256</v>
      </c>
      <c r="D260" s="23">
        <v>45264</v>
      </c>
      <c r="E260" s="8" t="s">
        <v>36</v>
      </c>
      <c r="F260" s="8" t="s">
        <v>15</v>
      </c>
      <c r="G260" s="8" t="s">
        <v>23</v>
      </c>
      <c r="H260" s="8" t="s">
        <v>24</v>
      </c>
      <c r="I260" s="8" t="s">
        <v>25</v>
      </c>
      <c r="J260" s="8" t="s">
        <v>67</v>
      </c>
      <c r="K260" s="8" t="s">
        <v>27</v>
      </c>
      <c r="L260" s="8">
        <v>1</v>
      </c>
      <c r="M260" s="8">
        <v>1681.85</v>
      </c>
      <c r="N260" s="8">
        <v>5</v>
      </c>
    </row>
    <row r="261" spans="1:14">
      <c r="A261" s="8">
        <v>10315</v>
      </c>
      <c r="B261" s="8">
        <v>1609</v>
      </c>
      <c r="C261" s="23">
        <v>45024</v>
      </c>
      <c r="D261" s="23">
        <v>45029</v>
      </c>
      <c r="E261" s="8" t="s">
        <v>36</v>
      </c>
      <c r="F261" s="8" t="s">
        <v>28</v>
      </c>
      <c r="G261" s="8" t="s">
        <v>23</v>
      </c>
      <c r="H261" s="8" t="s">
        <v>17</v>
      </c>
      <c r="I261" s="8" t="s">
        <v>48</v>
      </c>
      <c r="J261" s="8" t="s">
        <v>49</v>
      </c>
      <c r="K261" s="8" t="s">
        <v>44</v>
      </c>
      <c r="L261" s="8">
        <v>8</v>
      </c>
      <c r="M261" s="8">
        <v>3253.02</v>
      </c>
      <c r="N261" s="8">
        <v>15</v>
      </c>
    </row>
    <row r="262" spans="1:14">
      <c r="A262" s="8">
        <v>10316</v>
      </c>
      <c r="B262" s="8">
        <v>1197</v>
      </c>
      <c r="C262" s="23">
        <v>45070</v>
      </c>
      <c r="D262" s="23">
        <v>45071</v>
      </c>
      <c r="E262" s="8" t="s">
        <v>45</v>
      </c>
      <c r="F262" s="8" t="s">
        <v>37</v>
      </c>
      <c r="G262" s="8" t="s">
        <v>29</v>
      </c>
      <c r="H262" s="8" t="s">
        <v>17</v>
      </c>
      <c r="I262" s="8" t="s">
        <v>56</v>
      </c>
      <c r="J262" s="8" t="s">
        <v>57</v>
      </c>
      <c r="K262" s="8" t="s">
        <v>32</v>
      </c>
      <c r="L262" s="8">
        <v>8</v>
      </c>
      <c r="M262" s="8">
        <v>2429.2600000000002</v>
      </c>
      <c r="N262" s="8">
        <v>15</v>
      </c>
    </row>
    <row r="263" spans="1:14">
      <c r="A263" s="8">
        <v>10317</v>
      </c>
      <c r="B263" s="8">
        <v>1981</v>
      </c>
      <c r="C263" s="23">
        <v>45051</v>
      </c>
      <c r="D263" s="23">
        <v>45056</v>
      </c>
      <c r="E263" s="8" t="s">
        <v>33</v>
      </c>
      <c r="F263" s="8" t="s">
        <v>37</v>
      </c>
      <c r="G263" s="8" t="s">
        <v>23</v>
      </c>
      <c r="H263" s="8" t="s">
        <v>24</v>
      </c>
      <c r="I263" s="8" t="s">
        <v>48</v>
      </c>
      <c r="J263" s="8" t="s">
        <v>62</v>
      </c>
      <c r="K263" s="8" t="s">
        <v>46</v>
      </c>
      <c r="L263" s="8">
        <v>2</v>
      </c>
      <c r="M263" s="8">
        <v>788.72</v>
      </c>
      <c r="N263" s="8">
        <v>20</v>
      </c>
    </row>
    <row r="264" spans="1:14">
      <c r="A264" s="8">
        <v>10318</v>
      </c>
      <c r="B264" s="8">
        <v>1906</v>
      </c>
      <c r="C264" s="23">
        <v>45093</v>
      </c>
      <c r="D264" s="23">
        <v>45097</v>
      </c>
      <c r="E264" s="8" t="s">
        <v>14</v>
      </c>
      <c r="F264" s="8" t="s">
        <v>22</v>
      </c>
      <c r="G264" s="8" t="s">
        <v>29</v>
      </c>
      <c r="H264" s="8" t="s">
        <v>34</v>
      </c>
      <c r="I264" s="8" t="s">
        <v>48</v>
      </c>
      <c r="J264" s="8" t="s">
        <v>66</v>
      </c>
      <c r="K264" s="8" t="s">
        <v>20</v>
      </c>
      <c r="L264" s="8">
        <v>7</v>
      </c>
      <c r="M264" s="8">
        <v>245.03</v>
      </c>
      <c r="N264" s="8">
        <v>0</v>
      </c>
    </row>
    <row r="265" spans="1:14">
      <c r="A265" s="8">
        <v>10320</v>
      </c>
      <c r="B265" s="8">
        <v>1751</v>
      </c>
      <c r="C265" s="23">
        <v>45002</v>
      </c>
      <c r="D265" s="23">
        <v>45005</v>
      </c>
      <c r="E265" s="8" t="s">
        <v>14</v>
      </c>
      <c r="F265" s="8" t="s">
        <v>15</v>
      </c>
      <c r="G265" s="8" t="s">
        <v>16</v>
      </c>
      <c r="H265" s="8" t="s">
        <v>34</v>
      </c>
      <c r="I265" s="8" t="s">
        <v>25</v>
      </c>
      <c r="J265" s="8" t="s">
        <v>35</v>
      </c>
      <c r="K265" s="8" t="s">
        <v>27</v>
      </c>
      <c r="L265" s="8">
        <v>8</v>
      </c>
      <c r="M265" s="8">
        <v>2254.7800000000002</v>
      </c>
      <c r="N265" s="8">
        <v>0</v>
      </c>
    </row>
    <row r="266" spans="1:14">
      <c r="A266" s="8">
        <v>10321</v>
      </c>
      <c r="B266" s="8">
        <v>1143</v>
      </c>
      <c r="C266" s="23">
        <v>45270</v>
      </c>
      <c r="D266" s="23">
        <v>45275</v>
      </c>
      <c r="E266" s="8" t="s">
        <v>36</v>
      </c>
      <c r="F266" s="8" t="s">
        <v>15</v>
      </c>
      <c r="G266" s="8" t="s">
        <v>29</v>
      </c>
      <c r="H266" s="8" t="s">
        <v>41</v>
      </c>
      <c r="I266" s="8" t="s">
        <v>51</v>
      </c>
      <c r="J266" s="8" t="s">
        <v>59</v>
      </c>
      <c r="K266" s="8" t="s">
        <v>44</v>
      </c>
      <c r="L266" s="8">
        <v>7</v>
      </c>
      <c r="M266" s="8">
        <v>3383.31</v>
      </c>
      <c r="N266" s="8">
        <v>20</v>
      </c>
    </row>
    <row r="267" spans="1:14">
      <c r="A267" s="8">
        <v>10322</v>
      </c>
      <c r="B267" s="8">
        <v>1608</v>
      </c>
      <c r="C267" s="23">
        <v>45220</v>
      </c>
      <c r="D267" s="23">
        <v>45222</v>
      </c>
      <c r="E267" s="8" t="s">
        <v>14</v>
      </c>
      <c r="F267" s="8" t="s">
        <v>53</v>
      </c>
      <c r="G267" s="8" t="s">
        <v>29</v>
      </c>
      <c r="H267" s="8" t="s">
        <v>34</v>
      </c>
      <c r="I267" s="8" t="s">
        <v>25</v>
      </c>
      <c r="J267" s="8" t="s">
        <v>60</v>
      </c>
      <c r="K267" s="8" t="s">
        <v>27</v>
      </c>
      <c r="L267" s="8">
        <v>5</v>
      </c>
      <c r="M267" s="8">
        <v>640.82000000000005</v>
      </c>
      <c r="N267" s="8">
        <v>0</v>
      </c>
    </row>
    <row r="268" spans="1:14">
      <c r="A268" s="8">
        <v>10324</v>
      </c>
      <c r="B268" s="8">
        <v>1123</v>
      </c>
      <c r="C268" s="23">
        <v>45064</v>
      </c>
      <c r="D268" s="23">
        <v>45070</v>
      </c>
      <c r="E268" s="8" t="s">
        <v>45</v>
      </c>
      <c r="F268" s="8" t="s">
        <v>40</v>
      </c>
      <c r="G268" s="8" t="s">
        <v>23</v>
      </c>
      <c r="H268" s="8" t="s">
        <v>43</v>
      </c>
      <c r="I268" s="8" t="s">
        <v>56</v>
      </c>
      <c r="J268" s="8" t="s">
        <v>57</v>
      </c>
      <c r="K268" s="8" t="s">
        <v>32</v>
      </c>
      <c r="L268" s="8">
        <v>9</v>
      </c>
      <c r="M268" s="8">
        <v>3472.58</v>
      </c>
      <c r="N268" s="8">
        <v>15</v>
      </c>
    </row>
    <row r="269" spans="1:14">
      <c r="A269" s="8">
        <v>10325</v>
      </c>
      <c r="B269" s="8">
        <v>1186</v>
      </c>
      <c r="C269" s="23">
        <v>45025</v>
      </c>
      <c r="D269" s="23">
        <v>45030</v>
      </c>
      <c r="E269" s="8" t="s">
        <v>36</v>
      </c>
      <c r="F269" s="8" t="s">
        <v>37</v>
      </c>
      <c r="G269" s="8" t="s">
        <v>29</v>
      </c>
      <c r="H269" s="8" t="s">
        <v>34</v>
      </c>
      <c r="I269" s="8" t="s">
        <v>51</v>
      </c>
      <c r="J269" s="8" t="s">
        <v>63</v>
      </c>
      <c r="K269" s="8" t="s">
        <v>44</v>
      </c>
      <c r="L269" s="8">
        <v>7</v>
      </c>
      <c r="M269" s="8">
        <v>730.15</v>
      </c>
      <c r="N269" s="8">
        <v>0</v>
      </c>
    </row>
    <row r="270" spans="1:14">
      <c r="A270" s="8">
        <v>10326</v>
      </c>
      <c r="B270" s="8">
        <v>1325</v>
      </c>
      <c r="C270" s="23">
        <v>45118</v>
      </c>
      <c r="D270" s="23">
        <v>45124</v>
      </c>
      <c r="E270" s="8" t="s">
        <v>36</v>
      </c>
      <c r="F270" s="8" t="s">
        <v>15</v>
      </c>
      <c r="G270" s="8" t="s">
        <v>23</v>
      </c>
      <c r="H270" s="8" t="s">
        <v>43</v>
      </c>
      <c r="I270" s="8" t="s">
        <v>51</v>
      </c>
      <c r="J270" s="8" t="s">
        <v>59</v>
      </c>
      <c r="K270" s="8" t="s">
        <v>32</v>
      </c>
      <c r="L270" s="8">
        <v>2</v>
      </c>
      <c r="M270" s="8">
        <v>3428.64</v>
      </c>
      <c r="N270" s="8">
        <v>10</v>
      </c>
    </row>
    <row r="271" spans="1:14">
      <c r="A271" s="8">
        <v>10327</v>
      </c>
      <c r="B271" s="8">
        <v>1463</v>
      </c>
      <c r="C271" s="23">
        <v>45169</v>
      </c>
      <c r="D271" s="23">
        <v>45176</v>
      </c>
      <c r="E271" s="8" t="s">
        <v>21</v>
      </c>
      <c r="F271" s="8" t="s">
        <v>22</v>
      </c>
      <c r="G271" s="8" t="s">
        <v>16</v>
      </c>
      <c r="H271" s="8" t="s">
        <v>41</v>
      </c>
      <c r="I271" s="8" t="s">
        <v>51</v>
      </c>
      <c r="J271" s="8" t="s">
        <v>59</v>
      </c>
      <c r="K271" s="8" t="s">
        <v>46</v>
      </c>
      <c r="L271" s="8">
        <v>6</v>
      </c>
      <c r="M271" s="8">
        <v>3967.1</v>
      </c>
      <c r="N271" s="8">
        <v>0</v>
      </c>
    </row>
    <row r="272" spans="1:14">
      <c r="A272" s="8">
        <v>10328</v>
      </c>
      <c r="B272" s="8">
        <v>1348</v>
      </c>
      <c r="C272" s="23">
        <v>45245</v>
      </c>
      <c r="D272" s="23">
        <v>45250</v>
      </c>
      <c r="E272" s="8" t="s">
        <v>21</v>
      </c>
      <c r="F272" s="8" t="s">
        <v>53</v>
      </c>
      <c r="G272" s="8" t="s">
        <v>23</v>
      </c>
      <c r="H272" s="8" t="s">
        <v>24</v>
      </c>
      <c r="I272" s="8" t="s">
        <v>51</v>
      </c>
      <c r="J272" s="8" t="s">
        <v>52</v>
      </c>
      <c r="K272" s="8" t="s">
        <v>44</v>
      </c>
      <c r="L272" s="8">
        <v>2</v>
      </c>
      <c r="M272" s="8">
        <v>2948.33</v>
      </c>
      <c r="N272" s="8">
        <v>15</v>
      </c>
    </row>
    <row r="273" spans="1:14">
      <c r="A273" s="8">
        <v>10329</v>
      </c>
      <c r="B273" s="8">
        <v>1770</v>
      </c>
      <c r="C273" s="23">
        <v>44975</v>
      </c>
      <c r="D273" s="23">
        <v>44976</v>
      </c>
      <c r="E273" s="8" t="s">
        <v>39</v>
      </c>
      <c r="F273" s="8" t="s">
        <v>37</v>
      </c>
      <c r="G273" s="8" t="s">
        <v>16</v>
      </c>
      <c r="H273" s="8" t="s">
        <v>43</v>
      </c>
      <c r="I273" s="8" t="s">
        <v>25</v>
      </c>
      <c r="J273" s="8" t="s">
        <v>26</v>
      </c>
      <c r="K273" s="8" t="s">
        <v>46</v>
      </c>
      <c r="L273" s="8">
        <v>1</v>
      </c>
      <c r="M273" s="8">
        <v>3171.36</v>
      </c>
      <c r="N273" s="8">
        <v>20</v>
      </c>
    </row>
    <row r="274" spans="1:14">
      <c r="A274" s="8">
        <v>10330</v>
      </c>
      <c r="B274" s="8">
        <v>1659</v>
      </c>
      <c r="C274" s="23">
        <v>44958</v>
      </c>
      <c r="D274" s="23">
        <v>44966</v>
      </c>
      <c r="E274" s="8" t="s">
        <v>36</v>
      </c>
      <c r="F274" s="8" t="s">
        <v>53</v>
      </c>
      <c r="G274" s="8" t="s">
        <v>16</v>
      </c>
      <c r="H274" s="8" t="s">
        <v>43</v>
      </c>
      <c r="I274" s="8" t="s">
        <v>51</v>
      </c>
      <c r="J274" s="8" t="s">
        <v>63</v>
      </c>
      <c r="K274" s="8" t="s">
        <v>20</v>
      </c>
      <c r="L274" s="8">
        <v>7</v>
      </c>
      <c r="M274" s="8">
        <v>3978.5</v>
      </c>
      <c r="N274" s="8">
        <v>20</v>
      </c>
    </row>
    <row r="275" spans="1:14">
      <c r="A275" s="8">
        <v>10332</v>
      </c>
      <c r="B275" s="8">
        <v>1954</v>
      </c>
      <c r="C275" s="23">
        <v>44946</v>
      </c>
      <c r="D275" s="23">
        <v>44955</v>
      </c>
      <c r="E275" s="8" t="s">
        <v>14</v>
      </c>
      <c r="F275" s="8" t="s">
        <v>22</v>
      </c>
      <c r="G275" s="8" t="s">
        <v>16</v>
      </c>
      <c r="H275" s="8" t="s">
        <v>41</v>
      </c>
      <c r="I275" s="8" t="s">
        <v>56</v>
      </c>
      <c r="J275" s="8" t="s">
        <v>65</v>
      </c>
      <c r="K275" s="8" t="s">
        <v>20</v>
      </c>
      <c r="L275" s="8">
        <v>2</v>
      </c>
      <c r="M275" s="8">
        <v>1335.36</v>
      </c>
      <c r="N275" s="8">
        <v>5</v>
      </c>
    </row>
    <row r="276" spans="1:14">
      <c r="A276" s="8">
        <v>10336</v>
      </c>
      <c r="B276" s="8">
        <v>1962</v>
      </c>
      <c r="C276" s="23">
        <v>45069</v>
      </c>
      <c r="D276" s="23">
        <v>45072</v>
      </c>
      <c r="E276" s="8" t="s">
        <v>15</v>
      </c>
      <c r="F276" s="8" t="s">
        <v>40</v>
      </c>
      <c r="G276" s="8" t="s">
        <v>23</v>
      </c>
      <c r="H276" s="8" t="s">
        <v>41</v>
      </c>
      <c r="I276" s="8" t="s">
        <v>18</v>
      </c>
      <c r="J276" s="8" t="s">
        <v>68</v>
      </c>
      <c r="K276" s="8" t="s">
        <v>32</v>
      </c>
      <c r="L276" s="8">
        <v>1</v>
      </c>
      <c r="M276" s="8">
        <v>1126.5</v>
      </c>
      <c r="N276" s="8">
        <v>15</v>
      </c>
    </row>
    <row r="277" spans="1:14">
      <c r="A277" s="8">
        <v>10338</v>
      </c>
      <c r="B277" s="8">
        <v>1146</v>
      </c>
      <c r="C277" s="23">
        <v>45139</v>
      </c>
      <c r="D277" s="23">
        <v>45145</v>
      </c>
      <c r="E277" s="8" t="s">
        <v>21</v>
      </c>
      <c r="F277" s="8" t="s">
        <v>28</v>
      </c>
      <c r="G277" s="8" t="s">
        <v>29</v>
      </c>
      <c r="H277" s="8" t="s">
        <v>41</v>
      </c>
      <c r="I277" s="8" t="s">
        <v>48</v>
      </c>
      <c r="J277" s="8" t="s">
        <v>49</v>
      </c>
      <c r="K277" s="8" t="s">
        <v>20</v>
      </c>
      <c r="L277" s="8">
        <v>3</v>
      </c>
      <c r="M277" s="8">
        <v>464.42</v>
      </c>
      <c r="N277" s="8">
        <v>20</v>
      </c>
    </row>
    <row r="278" spans="1:14">
      <c r="A278" s="8">
        <v>10339</v>
      </c>
      <c r="B278" s="8">
        <v>1147</v>
      </c>
      <c r="C278" s="23">
        <v>45005</v>
      </c>
      <c r="D278" s="23">
        <v>45012</v>
      </c>
      <c r="E278" s="8" t="s">
        <v>14</v>
      </c>
      <c r="F278" s="8" t="s">
        <v>53</v>
      </c>
      <c r="G278" s="8" t="s">
        <v>16</v>
      </c>
      <c r="H278" s="8" t="s">
        <v>24</v>
      </c>
      <c r="I278" s="8" t="s">
        <v>30</v>
      </c>
      <c r="J278" s="8" t="s">
        <v>31</v>
      </c>
      <c r="K278" s="8" t="s">
        <v>20</v>
      </c>
      <c r="L278" s="8">
        <v>4</v>
      </c>
      <c r="M278" s="8">
        <v>3708.51</v>
      </c>
      <c r="N278" s="8">
        <v>5</v>
      </c>
    </row>
    <row r="279" spans="1:14">
      <c r="A279" s="8">
        <v>10341</v>
      </c>
      <c r="B279" s="8">
        <v>1710</v>
      </c>
      <c r="C279" s="23">
        <v>45042</v>
      </c>
      <c r="D279" s="23">
        <v>45048</v>
      </c>
      <c r="E279" s="8" t="s">
        <v>15</v>
      </c>
      <c r="F279" s="8" t="s">
        <v>28</v>
      </c>
      <c r="G279" s="8" t="s">
        <v>16</v>
      </c>
      <c r="H279" s="8" t="s">
        <v>34</v>
      </c>
      <c r="I279" s="8" t="s">
        <v>48</v>
      </c>
      <c r="J279" s="8" t="s">
        <v>50</v>
      </c>
      <c r="K279" s="8" t="s">
        <v>27</v>
      </c>
      <c r="L279" s="8">
        <v>4</v>
      </c>
      <c r="M279" s="8">
        <v>641.92999999999995</v>
      </c>
      <c r="N279" s="8">
        <v>0</v>
      </c>
    </row>
    <row r="280" spans="1:14">
      <c r="A280" s="8">
        <v>10342</v>
      </c>
      <c r="B280" s="8">
        <v>1819</v>
      </c>
      <c r="C280" s="23">
        <v>45018</v>
      </c>
      <c r="D280" s="23">
        <v>45019</v>
      </c>
      <c r="E280" s="8" t="s">
        <v>14</v>
      </c>
      <c r="F280" s="8" t="s">
        <v>53</v>
      </c>
      <c r="G280" s="8" t="s">
        <v>16</v>
      </c>
      <c r="H280" s="8" t="s">
        <v>34</v>
      </c>
      <c r="I280" s="8" t="s">
        <v>25</v>
      </c>
      <c r="J280" s="8" t="s">
        <v>26</v>
      </c>
      <c r="K280" s="8" t="s">
        <v>46</v>
      </c>
      <c r="L280" s="8">
        <v>5</v>
      </c>
      <c r="M280" s="8">
        <v>1853.11</v>
      </c>
      <c r="N280" s="8">
        <v>10</v>
      </c>
    </row>
    <row r="281" spans="1:14">
      <c r="A281" s="8">
        <v>10343</v>
      </c>
      <c r="B281" s="8">
        <v>1488</v>
      </c>
      <c r="C281" s="23">
        <v>45196</v>
      </c>
      <c r="D281" s="23">
        <v>45204</v>
      </c>
      <c r="E281" s="8" t="s">
        <v>45</v>
      </c>
      <c r="F281" s="8" t="s">
        <v>22</v>
      </c>
      <c r="G281" s="8" t="s">
        <v>16</v>
      </c>
      <c r="H281" s="8" t="s">
        <v>17</v>
      </c>
      <c r="I281" s="8" t="s">
        <v>48</v>
      </c>
      <c r="J281" s="8" t="s">
        <v>50</v>
      </c>
      <c r="K281" s="8" t="s">
        <v>20</v>
      </c>
      <c r="L281" s="8">
        <v>7</v>
      </c>
      <c r="M281" s="8">
        <v>313.51</v>
      </c>
      <c r="N281" s="8">
        <v>0</v>
      </c>
    </row>
    <row r="282" spans="1:14">
      <c r="A282" s="8">
        <v>10344</v>
      </c>
      <c r="B282" s="8">
        <v>1928</v>
      </c>
      <c r="C282" s="23">
        <v>45094</v>
      </c>
      <c r="D282" s="23">
        <v>45101</v>
      </c>
      <c r="E282" s="8" t="s">
        <v>21</v>
      </c>
      <c r="F282" s="8" t="s">
        <v>28</v>
      </c>
      <c r="G282" s="8" t="s">
        <v>29</v>
      </c>
      <c r="H282" s="8" t="s">
        <v>43</v>
      </c>
      <c r="I282" s="8" t="s">
        <v>51</v>
      </c>
      <c r="J282" s="8" t="s">
        <v>55</v>
      </c>
      <c r="K282" s="8" t="s">
        <v>32</v>
      </c>
      <c r="L282" s="8">
        <v>4</v>
      </c>
      <c r="M282" s="8">
        <v>2785.81</v>
      </c>
      <c r="N282" s="8">
        <v>20</v>
      </c>
    </row>
    <row r="283" spans="1:14">
      <c r="A283" s="8">
        <v>10345</v>
      </c>
      <c r="B283" s="8">
        <v>1935</v>
      </c>
      <c r="C283" s="23">
        <v>44984</v>
      </c>
      <c r="D283" s="23">
        <v>44993</v>
      </c>
      <c r="E283" s="8" t="s">
        <v>33</v>
      </c>
      <c r="F283" s="8" t="s">
        <v>28</v>
      </c>
      <c r="G283" s="8" t="s">
        <v>29</v>
      </c>
      <c r="H283" s="8" t="s">
        <v>41</v>
      </c>
      <c r="I283" s="8" t="s">
        <v>25</v>
      </c>
      <c r="J283" s="8" t="s">
        <v>35</v>
      </c>
      <c r="K283" s="8" t="s">
        <v>44</v>
      </c>
      <c r="L283" s="8">
        <v>1</v>
      </c>
      <c r="M283" s="8">
        <v>3625.42</v>
      </c>
      <c r="N283" s="8">
        <v>10</v>
      </c>
    </row>
    <row r="284" spans="1:14">
      <c r="A284" s="8">
        <v>10347</v>
      </c>
      <c r="B284" s="8">
        <v>1550</v>
      </c>
      <c r="C284" s="23">
        <v>44952</v>
      </c>
      <c r="D284" s="23">
        <v>44954</v>
      </c>
      <c r="E284" s="8" t="s">
        <v>14</v>
      </c>
      <c r="F284" s="8" t="s">
        <v>28</v>
      </c>
      <c r="G284" s="8" t="s">
        <v>23</v>
      </c>
      <c r="H284" s="8" t="s">
        <v>43</v>
      </c>
      <c r="I284" s="8" t="s">
        <v>18</v>
      </c>
      <c r="J284" s="8" t="s">
        <v>19</v>
      </c>
      <c r="K284" s="8" t="s">
        <v>44</v>
      </c>
      <c r="L284" s="8">
        <v>4</v>
      </c>
      <c r="M284" s="8">
        <v>640.37</v>
      </c>
      <c r="N284" s="8">
        <v>20</v>
      </c>
    </row>
    <row r="285" spans="1:14">
      <c r="A285" s="8">
        <v>10350</v>
      </c>
      <c r="B285" s="8">
        <v>1640</v>
      </c>
      <c r="C285" s="23">
        <v>45180</v>
      </c>
      <c r="D285" s="23">
        <v>45185</v>
      </c>
      <c r="E285" s="8" t="s">
        <v>14</v>
      </c>
      <c r="F285" s="8" t="s">
        <v>40</v>
      </c>
      <c r="G285" s="8" t="s">
        <v>16</v>
      </c>
      <c r="H285" s="8" t="s">
        <v>43</v>
      </c>
      <c r="I285" s="8" t="s">
        <v>56</v>
      </c>
      <c r="J285" s="8" t="s">
        <v>61</v>
      </c>
      <c r="K285" s="8" t="s">
        <v>20</v>
      </c>
      <c r="L285" s="8">
        <v>1</v>
      </c>
      <c r="M285" s="8">
        <v>3708.38</v>
      </c>
      <c r="N285" s="8">
        <v>20</v>
      </c>
    </row>
    <row r="286" spans="1:14">
      <c r="A286" s="8">
        <v>10351</v>
      </c>
      <c r="B286" s="8">
        <v>1778</v>
      </c>
      <c r="C286" s="23">
        <v>44970</v>
      </c>
      <c r="D286" s="23">
        <v>44972</v>
      </c>
      <c r="E286" s="8" t="s">
        <v>45</v>
      </c>
      <c r="F286" s="8" t="s">
        <v>15</v>
      </c>
      <c r="G286" s="8" t="s">
        <v>29</v>
      </c>
      <c r="H286" s="8" t="s">
        <v>34</v>
      </c>
      <c r="I286" s="8" t="s">
        <v>30</v>
      </c>
      <c r="J286" s="8" t="s">
        <v>31</v>
      </c>
      <c r="K286" s="8" t="s">
        <v>44</v>
      </c>
      <c r="L286" s="8">
        <v>3</v>
      </c>
      <c r="M286" s="8">
        <v>1923.58</v>
      </c>
      <c r="N286" s="8">
        <v>15</v>
      </c>
    </row>
    <row r="287" spans="1:14">
      <c r="A287" s="8">
        <v>10352</v>
      </c>
      <c r="B287" s="8">
        <v>1987</v>
      </c>
      <c r="C287" s="23">
        <v>45023</v>
      </c>
      <c r="D287" s="23">
        <v>45026</v>
      </c>
      <c r="E287" s="8" t="s">
        <v>45</v>
      </c>
      <c r="F287" s="8" t="s">
        <v>22</v>
      </c>
      <c r="G287" s="8" t="s">
        <v>29</v>
      </c>
      <c r="H287" s="8" t="s">
        <v>17</v>
      </c>
      <c r="I287" s="8" t="s">
        <v>25</v>
      </c>
      <c r="J287" s="8" t="s">
        <v>35</v>
      </c>
      <c r="K287" s="8" t="s">
        <v>44</v>
      </c>
      <c r="L287" s="8">
        <v>2</v>
      </c>
      <c r="M287" s="8">
        <v>2071.04</v>
      </c>
      <c r="N287" s="8">
        <v>20</v>
      </c>
    </row>
    <row r="288" spans="1:14">
      <c r="A288" s="8">
        <v>10355</v>
      </c>
      <c r="B288" s="8">
        <v>1945</v>
      </c>
      <c r="C288" s="23">
        <v>45188</v>
      </c>
      <c r="D288" s="23">
        <v>45191</v>
      </c>
      <c r="E288" s="8" t="s">
        <v>36</v>
      </c>
      <c r="F288" s="8" t="s">
        <v>22</v>
      </c>
      <c r="G288" s="8" t="s">
        <v>29</v>
      </c>
      <c r="H288" s="8" t="s">
        <v>34</v>
      </c>
      <c r="I288" s="8" t="s">
        <v>51</v>
      </c>
      <c r="J288" s="8" t="s">
        <v>52</v>
      </c>
      <c r="K288" s="8" t="s">
        <v>20</v>
      </c>
      <c r="L288" s="8">
        <v>9</v>
      </c>
      <c r="M288" s="8">
        <v>2632.88</v>
      </c>
      <c r="N288" s="8">
        <v>5</v>
      </c>
    </row>
    <row r="289" spans="1:14">
      <c r="A289" s="8">
        <v>10356</v>
      </c>
      <c r="B289" s="8">
        <v>1150</v>
      </c>
      <c r="C289" s="23">
        <v>45093</v>
      </c>
      <c r="D289" s="23">
        <v>45102</v>
      </c>
      <c r="E289" s="8" t="s">
        <v>15</v>
      </c>
      <c r="F289" s="8" t="s">
        <v>37</v>
      </c>
      <c r="G289" s="8" t="s">
        <v>29</v>
      </c>
      <c r="H289" s="8" t="s">
        <v>41</v>
      </c>
      <c r="I289" s="8" t="s">
        <v>30</v>
      </c>
      <c r="J289" s="8" t="s">
        <v>47</v>
      </c>
      <c r="K289" s="8" t="s">
        <v>20</v>
      </c>
      <c r="L289" s="8">
        <v>9</v>
      </c>
      <c r="M289" s="8">
        <v>1259.77</v>
      </c>
      <c r="N289" s="8">
        <v>15</v>
      </c>
    </row>
    <row r="290" spans="1:14">
      <c r="A290" s="8">
        <v>10357</v>
      </c>
      <c r="B290" s="8">
        <v>1414</v>
      </c>
      <c r="C290" s="23">
        <v>45205</v>
      </c>
      <c r="D290" s="23">
        <v>45213</v>
      </c>
      <c r="E290" s="8" t="s">
        <v>36</v>
      </c>
      <c r="F290" s="8" t="s">
        <v>37</v>
      </c>
      <c r="G290" s="8" t="s">
        <v>16</v>
      </c>
      <c r="H290" s="8" t="s">
        <v>24</v>
      </c>
      <c r="I290" s="8" t="s">
        <v>56</v>
      </c>
      <c r="J290" s="8" t="s">
        <v>57</v>
      </c>
      <c r="K290" s="8" t="s">
        <v>27</v>
      </c>
      <c r="L290" s="8">
        <v>8</v>
      </c>
      <c r="M290" s="8">
        <v>1300.31</v>
      </c>
      <c r="N290" s="8">
        <v>0</v>
      </c>
    </row>
    <row r="291" spans="1:14">
      <c r="A291" s="8">
        <v>10358</v>
      </c>
      <c r="B291" s="8">
        <v>1989</v>
      </c>
      <c r="C291" s="23">
        <v>45015</v>
      </c>
      <c r="D291" s="23">
        <v>45019</v>
      </c>
      <c r="E291" s="8" t="s">
        <v>14</v>
      </c>
      <c r="F291" s="8" t="s">
        <v>28</v>
      </c>
      <c r="G291" s="8" t="s">
        <v>29</v>
      </c>
      <c r="H291" s="8" t="s">
        <v>34</v>
      </c>
      <c r="I291" s="8" t="s">
        <v>56</v>
      </c>
      <c r="J291" s="8" t="s">
        <v>57</v>
      </c>
      <c r="K291" s="8" t="s">
        <v>32</v>
      </c>
      <c r="L291" s="8">
        <v>8</v>
      </c>
      <c r="M291" s="8">
        <v>3581.12</v>
      </c>
      <c r="N291" s="8">
        <v>15</v>
      </c>
    </row>
    <row r="292" spans="1:14">
      <c r="A292" s="8">
        <v>10359</v>
      </c>
      <c r="B292" s="8">
        <v>1297</v>
      </c>
      <c r="C292" s="23">
        <v>45104</v>
      </c>
      <c r="D292" s="23">
        <v>45105</v>
      </c>
      <c r="E292" s="8" t="s">
        <v>15</v>
      </c>
      <c r="F292" s="8" t="s">
        <v>40</v>
      </c>
      <c r="G292" s="8" t="s">
        <v>16</v>
      </c>
      <c r="H292" s="8" t="s">
        <v>24</v>
      </c>
      <c r="I292" s="8" t="s">
        <v>30</v>
      </c>
      <c r="J292" s="8" t="s">
        <v>47</v>
      </c>
      <c r="K292" s="8" t="s">
        <v>46</v>
      </c>
      <c r="L292" s="8">
        <v>1</v>
      </c>
      <c r="M292" s="8">
        <v>202.49</v>
      </c>
      <c r="N292" s="8">
        <v>5</v>
      </c>
    </row>
    <row r="293" spans="1:14">
      <c r="A293" s="8">
        <v>10360</v>
      </c>
      <c r="B293" s="8">
        <v>1610</v>
      </c>
      <c r="C293" s="23">
        <v>45123</v>
      </c>
      <c r="D293" s="23">
        <v>45124</v>
      </c>
      <c r="E293" s="8" t="s">
        <v>33</v>
      </c>
      <c r="F293" s="8" t="s">
        <v>40</v>
      </c>
      <c r="G293" s="8" t="s">
        <v>29</v>
      </c>
      <c r="H293" s="8" t="s">
        <v>41</v>
      </c>
      <c r="I293" s="8" t="s">
        <v>30</v>
      </c>
      <c r="J293" s="8" t="s">
        <v>31</v>
      </c>
      <c r="K293" s="8" t="s">
        <v>44</v>
      </c>
      <c r="L293" s="8">
        <v>8</v>
      </c>
      <c r="M293" s="8">
        <v>1392.5</v>
      </c>
      <c r="N293" s="8">
        <v>15</v>
      </c>
    </row>
    <row r="294" spans="1:14">
      <c r="A294" s="8">
        <v>10361</v>
      </c>
      <c r="B294" s="8">
        <v>1262</v>
      </c>
      <c r="C294" s="23">
        <v>45233</v>
      </c>
      <c r="D294" s="23">
        <v>45234</v>
      </c>
      <c r="E294" s="8" t="s">
        <v>33</v>
      </c>
      <c r="F294" s="8" t="s">
        <v>22</v>
      </c>
      <c r="G294" s="8" t="s">
        <v>23</v>
      </c>
      <c r="H294" s="8" t="s">
        <v>43</v>
      </c>
      <c r="I294" s="8" t="s">
        <v>56</v>
      </c>
      <c r="J294" s="8" t="s">
        <v>58</v>
      </c>
      <c r="K294" s="8" t="s">
        <v>20</v>
      </c>
      <c r="L294" s="8">
        <v>3</v>
      </c>
      <c r="M294" s="8">
        <v>2284.27</v>
      </c>
      <c r="N294" s="8">
        <v>20</v>
      </c>
    </row>
    <row r="295" spans="1:14">
      <c r="A295" s="8">
        <v>10365</v>
      </c>
      <c r="B295" s="8">
        <v>1623</v>
      </c>
      <c r="C295" s="23">
        <v>44934</v>
      </c>
      <c r="D295" s="23">
        <v>44940</v>
      </c>
      <c r="E295" s="8" t="s">
        <v>15</v>
      </c>
      <c r="F295" s="8" t="s">
        <v>40</v>
      </c>
      <c r="G295" s="8" t="s">
        <v>16</v>
      </c>
      <c r="H295" s="8" t="s">
        <v>34</v>
      </c>
      <c r="I295" s="8" t="s">
        <v>51</v>
      </c>
      <c r="J295" s="8" t="s">
        <v>52</v>
      </c>
      <c r="K295" s="8" t="s">
        <v>32</v>
      </c>
      <c r="L295" s="8">
        <v>5</v>
      </c>
      <c r="M295" s="8">
        <v>3593.46</v>
      </c>
      <c r="N295" s="8">
        <v>20</v>
      </c>
    </row>
    <row r="296" spans="1:14">
      <c r="A296" s="8">
        <v>10366</v>
      </c>
      <c r="B296" s="8">
        <v>1571</v>
      </c>
      <c r="C296" s="23">
        <v>45223</v>
      </c>
      <c r="D296" s="23">
        <v>45226</v>
      </c>
      <c r="E296" s="8" t="s">
        <v>14</v>
      </c>
      <c r="F296" s="8" t="s">
        <v>15</v>
      </c>
      <c r="G296" s="8" t="s">
        <v>23</v>
      </c>
      <c r="H296" s="8" t="s">
        <v>41</v>
      </c>
      <c r="I296" s="8" t="s">
        <v>48</v>
      </c>
      <c r="J296" s="8" t="s">
        <v>62</v>
      </c>
      <c r="K296" s="8" t="s">
        <v>20</v>
      </c>
      <c r="L296" s="8">
        <v>5</v>
      </c>
      <c r="M296" s="8">
        <v>3320.88</v>
      </c>
      <c r="N296" s="8">
        <v>0</v>
      </c>
    </row>
    <row r="297" spans="1:14">
      <c r="A297" s="8">
        <v>10367</v>
      </c>
      <c r="B297" s="8">
        <v>1880</v>
      </c>
      <c r="C297" s="23">
        <v>45090</v>
      </c>
      <c r="D297" s="23">
        <v>45095</v>
      </c>
      <c r="E297" s="8" t="s">
        <v>45</v>
      </c>
      <c r="F297" s="8" t="s">
        <v>40</v>
      </c>
      <c r="G297" s="8" t="s">
        <v>29</v>
      </c>
      <c r="H297" s="8" t="s">
        <v>34</v>
      </c>
      <c r="I297" s="8" t="s">
        <v>56</v>
      </c>
      <c r="J297" s="8" t="s">
        <v>61</v>
      </c>
      <c r="K297" s="8" t="s">
        <v>44</v>
      </c>
      <c r="L297" s="8">
        <v>8</v>
      </c>
      <c r="M297" s="8">
        <v>3610.33</v>
      </c>
      <c r="N297" s="8">
        <v>5</v>
      </c>
    </row>
    <row r="298" spans="1:14">
      <c r="A298" s="8">
        <v>10369</v>
      </c>
      <c r="B298" s="8">
        <v>1896</v>
      </c>
      <c r="C298" s="23">
        <v>44998</v>
      </c>
      <c r="D298" s="23">
        <v>45000</v>
      </c>
      <c r="E298" s="8" t="s">
        <v>21</v>
      </c>
      <c r="F298" s="8" t="s">
        <v>22</v>
      </c>
      <c r="G298" s="8" t="s">
        <v>16</v>
      </c>
      <c r="H298" s="8" t="s">
        <v>34</v>
      </c>
      <c r="I298" s="8" t="s">
        <v>25</v>
      </c>
      <c r="J298" s="8" t="s">
        <v>35</v>
      </c>
      <c r="K298" s="8" t="s">
        <v>46</v>
      </c>
      <c r="L298" s="8">
        <v>8</v>
      </c>
      <c r="M298" s="8">
        <v>3277.19</v>
      </c>
      <c r="N298" s="8">
        <v>15</v>
      </c>
    </row>
    <row r="299" spans="1:14">
      <c r="A299" s="8">
        <v>10370</v>
      </c>
      <c r="B299" s="8">
        <v>1303</v>
      </c>
      <c r="C299" s="23">
        <v>44981</v>
      </c>
      <c r="D299" s="23">
        <v>44987</v>
      </c>
      <c r="E299" s="8" t="s">
        <v>21</v>
      </c>
      <c r="F299" s="8" t="s">
        <v>40</v>
      </c>
      <c r="G299" s="8" t="s">
        <v>29</v>
      </c>
      <c r="H299" s="8" t="s">
        <v>17</v>
      </c>
      <c r="I299" s="8" t="s">
        <v>48</v>
      </c>
      <c r="J299" s="8" t="s">
        <v>62</v>
      </c>
      <c r="K299" s="8" t="s">
        <v>27</v>
      </c>
      <c r="L299" s="8">
        <v>6</v>
      </c>
      <c r="M299" s="8">
        <v>1628.56</v>
      </c>
      <c r="N299" s="8">
        <v>0</v>
      </c>
    </row>
    <row r="300" spans="1:14">
      <c r="A300" s="8">
        <v>10371</v>
      </c>
      <c r="B300" s="8">
        <v>1253</v>
      </c>
      <c r="C300" s="23">
        <v>44973</v>
      </c>
      <c r="D300" s="23">
        <v>44979</v>
      </c>
      <c r="E300" s="8" t="s">
        <v>33</v>
      </c>
      <c r="F300" s="8" t="s">
        <v>40</v>
      </c>
      <c r="G300" s="8" t="s">
        <v>16</v>
      </c>
      <c r="H300" s="8" t="s">
        <v>17</v>
      </c>
      <c r="I300" s="8" t="s">
        <v>48</v>
      </c>
      <c r="J300" s="8" t="s">
        <v>66</v>
      </c>
      <c r="K300" s="8" t="s">
        <v>46</v>
      </c>
      <c r="L300" s="8">
        <v>6</v>
      </c>
      <c r="M300" s="8">
        <v>2715.13</v>
      </c>
      <c r="N300" s="8">
        <v>20</v>
      </c>
    </row>
    <row r="301" spans="1:14">
      <c r="A301" s="8">
        <v>10372</v>
      </c>
      <c r="B301" s="8">
        <v>1651</v>
      </c>
      <c r="C301" s="23">
        <v>45164</v>
      </c>
      <c r="D301" s="23">
        <v>45167</v>
      </c>
      <c r="E301" s="8" t="s">
        <v>15</v>
      </c>
      <c r="F301" s="8" t="s">
        <v>22</v>
      </c>
      <c r="G301" s="8" t="s">
        <v>23</v>
      </c>
      <c r="H301" s="8" t="s">
        <v>34</v>
      </c>
      <c r="I301" s="8" t="s">
        <v>48</v>
      </c>
      <c r="J301" s="8" t="s">
        <v>62</v>
      </c>
      <c r="K301" s="8" t="s">
        <v>20</v>
      </c>
      <c r="L301" s="8">
        <v>2</v>
      </c>
      <c r="M301" s="8">
        <v>3957.02</v>
      </c>
      <c r="N301" s="8">
        <v>5</v>
      </c>
    </row>
    <row r="302" spans="1:14">
      <c r="A302" s="8">
        <v>10373</v>
      </c>
      <c r="B302" s="8">
        <v>1452</v>
      </c>
      <c r="C302" s="23">
        <v>45030</v>
      </c>
      <c r="D302" s="23">
        <v>45036</v>
      </c>
      <c r="E302" s="8" t="s">
        <v>21</v>
      </c>
      <c r="F302" s="8" t="s">
        <v>15</v>
      </c>
      <c r="G302" s="8" t="s">
        <v>23</v>
      </c>
      <c r="H302" s="8" t="s">
        <v>17</v>
      </c>
      <c r="I302" s="8" t="s">
        <v>51</v>
      </c>
      <c r="J302" s="8" t="s">
        <v>52</v>
      </c>
      <c r="K302" s="8" t="s">
        <v>20</v>
      </c>
      <c r="L302" s="8">
        <v>6</v>
      </c>
      <c r="M302" s="8">
        <v>1019.05</v>
      </c>
      <c r="N302" s="8">
        <v>0</v>
      </c>
    </row>
    <row r="303" spans="1:14">
      <c r="A303" s="8">
        <v>10374</v>
      </c>
      <c r="B303" s="8">
        <v>1036</v>
      </c>
      <c r="C303" s="23">
        <v>45136</v>
      </c>
      <c r="D303" s="23">
        <v>45141</v>
      </c>
      <c r="E303" s="8" t="s">
        <v>36</v>
      </c>
      <c r="F303" s="8" t="s">
        <v>15</v>
      </c>
      <c r="G303" s="8" t="s">
        <v>16</v>
      </c>
      <c r="H303" s="8" t="s">
        <v>41</v>
      </c>
      <c r="I303" s="8" t="s">
        <v>56</v>
      </c>
      <c r="J303" s="8" t="s">
        <v>57</v>
      </c>
      <c r="K303" s="8" t="s">
        <v>32</v>
      </c>
      <c r="L303" s="8">
        <v>5</v>
      </c>
      <c r="M303" s="8">
        <v>1651.11</v>
      </c>
      <c r="N303" s="8">
        <v>20</v>
      </c>
    </row>
    <row r="304" spans="1:14">
      <c r="A304" s="8">
        <v>10376</v>
      </c>
      <c r="B304" s="8">
        <v>1008</v>
      </c>
      <c r="C304" s="23">
        <v>45242</v>
      </c>
      <c r="D304" s="23">
        <v>45251</v>
      </c>
      <c r="E304" s="8" t="s">
        <v>36</v>
      </c>
      <c r="F304" s="8" t="s">
        <v>53</v>
      </c>
      <c r="G304" s="8" t="s">
        <v>29</v>
      </c>
      <c r="H304" s="8" t="s">
        <v>17</v>
      </c>
      <c r="I304" s="8" t="s">
        <v>56</v>
      </c>
      <c r="J304" s="8" t="s">
        <v>58</v>
      </c>
      <c r="K304" s="8" t="s">
        <v>44</v>
      </c>
      <c r="L304" s="8">
        <v>6</v>
      </c>
      <c r="M304" s="8">
        <v>681.36</v>
      </c>
      <c r="N304" s="8">
        <v>15</v>
      </c>
    </row>
    <row r="305" spans="1:14">
      <c r="A305" s="8">
        <v>10379</v>
      </c>
      <c r="B305" s="8">
        <v>1658</v>
      </c>
      <c r="C305" s="23">
        <v>45262</v>
      </c>
      <c r="D305" s="23">
        <v>45270</v>
      </c>
      <c r="E305" s="8" t="s">
        <v>14</v>
      </c>
      <c r="F305" s="8" t="s">
        <v>15</v>
      </c>
      <c r="G305" s="8" t="s">
        <v>23</v>
      </c>
      <c r="H305" s="8" t="s">
        <v>34</v>
      </c>
      <c r="I305" s="8" t="s">
        <v>25</v>
      </c>
      <c r="J305" s="8" t="s">
        <v>67</v>
      </c>
      <c r="K305" s="8" t="s">
        <v>44</v>
      </c>
      <c r="L305" s="8">
        <v>1</v>
      </c>
      <c r="M305" s="8">
        <v>3910.66</v>
      </c>
      <c r="N305" s="8">
        <v>5</v>
      </c>
    </row>
    <row r="306" spans="1:14">
      <c r="A306" s="8">
        <v>10381</v>
      </c>
      <c r="B306" s="8">
        <v>1207</v>
      </c>
      <c r="C306" s="23">
        <v>45185</v>
      </c>
      <c r="D306" s="23">
        <v>45188</v>
      </c>
      <c r="E306" s="8" t="s">
        <v>15</v>
      </c>
      <c r="F306" s="8" t="s">
        <v>22</v>
      </c>
      <c r="G306" s="8" t="s">
        <v>23</v>
      </c>
      <c r="H306" s="8" t="s">
        <v>43</v>
      </c>
      <c r="I306" s="8" t="s">
        <v>51</v>
      </c>
      <c r="J306" s="8" t="s">
        <v>55</v>
      </c>
      <c r="K306" s="8" t="s">
        <v>46</v>
      </c>
      <c r="L306" s="8">
        <v>3</v>
      </c>
      <c r="M306" s="8">
        <v>487.45</v>
      </c>
      <c r="N306" s="8">
        <v>5</v>
      </c>
    </row>
    <row r="307" spans="1:14">
      <c r="A307" s="8">
        <v>10383</v>
      </c>
      <c r="B307" s="8">
        <v>1403</v>
      </c>
      <c r="C307" s="23">
        <v>45040</v>
      </c>
      <c r="D307" s="23">
        <v>45042</v>
      </c>
      <c r="E307" s="8" t="s">
        <v>36</v>
      </c>
      <c r="F307" s="8" t="s">
        <v>22</v>
      </c>
      <c r="G307" s="8" t="s">
        <v>23</v>
      </c>
      <c r="H307" s="8" t="s">
        <v>41</v>
      </c>
      <c r="I307" s="8" t="s">
        <v>30</v>
      </c>
      <c r="J307" s="8" t="s">
        <v>47</v>
      </c>
      <c r="K307" s="8" t="s">
        <v>32</v>
      </c>
      <c r="L307" s="8">
        <v>1</v>
      </c>
      <c r="M307" s="8">
        <v>3581.58</v>
      </c>
      <c r="N307" s="8">
        <v>15</v>
      </c>
    </row>
    <row r="308" spans="1:14">
      <c r="A308" s="8">
        <v>10384</v>
      </c>
      <c r="B308" s="8">
        <v>1151</v>
      </c>
      <c r="C308" s="23">
        <v>45289</v>
      </c>
      <c r="D308" s="23">
        <v>45297</v>
      </c>
      <c r="E308" s="8" t="s">
        <v>21</v>
      </c>
      <c r="F308" s="8" t="s">
        <v>15</v>
      </c>
      <c r="G308" s="8" t="s">
        <v>23</v>
      </c>
      <c r="H308" s="8" t="s">
        <v>41</v>
      </c>
      <c r="I308" s="8" t="s">
        <v>18</v>
      </c>
      <c r="J308" s="8" t="s">
        <v>54</v>
      </c>
      <c r="K308" s="8" t="s">
        <v>27</v>
      </c>
      <c r="L308" s="8">
        <v>5</v>
      </c>
      <c r="M308" s="8">
        <v>1935.68</v>
      </c>
      <c r="N308" s="8">
        <v>20</v>
      </c>
    </row>
    <row r="309" spans="1:14">
      <c r="A309" s="8">
        <v>10385</v>
      </c>
      <c r="B309" s="8">
        <v>1053</v>
      </c>
      <c r="C309" s="23">
        <v>44966</v>
      </c>
      <c r="D309" s="23">
        <v>44967</v>
      </c>
      <c r="E309" s="8" t="s">
        <v>15</v>
      </c>
      <c r="F309" s="8" t="s">
        <v>22</v>
      </c>
      <c r="G309" s="8" t="s">
        <v>23</v>
      </c>
      <c r="H309" s="8" t="s">
        <v>41</v>
      </c>
      <c r="I309" s="8" t="s">
        <v>51</v>
      </c>
      <c r="J309" s="8" t="s">
        <v>63</v>
      </c>
      <c r="K309" s="8" t="s">
        <v>32</v>
      </c>
      <c r="L309" s="8">
        <v>3</v>
      </c>
      <c r="M309" s="8">
        <v>1382.11</v>
      </c>
      <c r="N309" s="8">
        <v>10</v>
      </c>
    </row>
    <row r="310" spans="1:14">
      <c r="A310" s="8">
        <v>10386</v>
      </c>
      <c r="B310" s="8">
        <v>1119</v>
      </c>
      <c r="C310" s="23">
        <v>45146</v>
      </c>
      <c r="D310" s="23">
        <v>45154</v>
      </c>
      <c r="E310" s="8" t="s">
        <v>14</v>
      </c>
      <c r="F310" s="8" t="s">
        <v>22</v>
      </c>
      <c r="G310" s="8" t="s">
        <v>23</v>
      </c>
      <c r="H310" s="8" t="s">
        <v>43</v>
      </c>
      <c r="I310" s="8" t="s">
        <v>48</v>
      </c>
      <c r="J310" s="8" t="s">
        <v>66</v>
      </c>
      <c r="K310" s="8" t="s">
        <v>27</v>
      </c>
      <c r="L310" s="8">
        <v>2</v>
      </c>
      <c r="M310" s="8">
        <v>1984.38</v>
      </c>
      <c r="N310" s="8">
        <v>10</v>
      </c>
    </row>
    <row r="311" spans="1:14">
      <c r="A311" s="8">
        <v>10387</v>
      </c>
      <c r="B311" s="8">
        <v>1672</v>
      </c>
      <c r="C311" s="23">
        <v>45055</v>
      </c>
      <c r="D311" s="23">
        <v>45062</v>
      </c>
      <c r="E311" s="8" t="s">
        <v>45</v>
      </c>
      <c r="F311" s="8" t="s">
        <v>28</v>
      </c>
      <c r="G311" s="8" t="s">
        <v>23</v>
      </c>
      <c r="H311" s="8" t="s">
        <v>41</v>
      </c>
      <c r="I311" s="8" t="s">
        <v>30</v>
      </c>
      <c r="J311" s="8" t="s">
        <v>31</v>
      </c>
      <c r="K311" s="8" t="s">
        <v>32</v>
      </c>
      <c r="L311" s="8">
        <v>8</v>
      </c>
      <c r="M311" s="8">
        <v>1375.47</v>
      </c>
      <c r="N311" s="8">
        <v>15</v>
      </c>
    </row>
    <row r="312" spans="1:14">
      <c r="A312" s="8">
        <v>10388</v>
      </c>
      <c r="B312" s="8">
        <v>1919</v>
      </c>
      <c r="C312" s="23">
        <v>44934</v>
      </c>
      <c r="D312" s="23">
        <v>44941</v>
      </c>
      <c r="E312" s="8" t="s">
        <v>21</v>
      </c>
      <c r="F312" s="8" t="s">
        <v>53</v>
      </c>
      <c r="G312" s="8" t="s">
        <v>29</v>
      </c>
      <c r="H312" s="8" t="s">
        <v>17</v>
      </c>
      <c r="I312" s="8" t="s">
        <v>30</v>
      </c>
      <c r="J312" s="8" t="s">
        <v>38</v>
      </c>
      <c r="K312" s="8" t="s">
        <v>32</v>
      </c>
      <c r="L312" s="8">
        <v>3</v>
      </c>
      <c r="M312" s="8">
        <v>2032.79</v>
      </c>
      <c r="N312" s="8">
        <v>10</v>
      </c>
    </row>
    <row r="313" spans="1:14">
      <c r="A313" s="8">
        <v>10390</v>
      </c>
      <c r="B313" s="8">
        <v>1586</v>
      </c>
      <c r="C313" s="23">
        <v>45102</v>
      </c>
      <c r="D313" s="23">
        <v>45103</v>
      </c>
      <c r="E313" s="8" t="s">
        <v>39</v>
      </c>
      <c r="F313" s="8" t="s">
        <v>53</v>
      </c>
      <c r="G313" s="8" t="s">
        <v>23</v>
      </c>
      <c r="H313" s="8" t="s">
        <v>34</v>
      </c>
      <c r="I313" s="8" t="s">
        <v>30</v>
      </c>
      <c r="J313" s="8" t="s">
        <v>47</v>
      </c>
      <c r="K313" s="8" t="s">
        <v>46</v>
      </c>
      <c r="L313" s="8">
        <v>1</v>
      </c>
      <c r="M313" s="8">
        <v>2430.36</v>
      </c>
      <c r="N313" s="8">
        <v>15</v>
      </c>
    </row>
    <row r="314" spans="1:14">
      <c r="A314" s="8">
        <v>10392</v>
      </c>
      <c r="B314" s="8">
        <v>1967</v>
      </c>
      <c r="C314" s="23">
        <v>45027</v>
      </c>
      <c r="D314" s="23">
        <v>45036</v>
      </c>
      <c r="E314" s="8" t="s">
        <v>21</v>
      </c>
      <c r="F314" s="8" t="s">
        <v>37</v>
      </c>
      <c r="G314" s="8" t="s">
        <v>23</v>
      </c>
      <c r="H314" s="8" t="s">
        <v>24</v>
      </c>
      <c r="I314" s="8" t="s">
        <v>51</v>
      </c>
      <c r="J314" s="8" t="s">
        <v>59</v>
      </c>
      <c r="K314" s="8" t="s">
        <v>32</v>
      </c>
      <c r="L314" s="8">
        <v>3</v>
      </c>
      <c r="M314" s="8">
        <v>1553.98</v>
      </c>
      <c r="N314" s="8">
        <v>15</v>
      </c>
    </row>
    <row r="315" spans="1:14">
      <c r="A315" s="8">
        <v>10393</v>
      </c>
      <c r="B315" s="8">
        <v>1419</v>
      </c>
      <c r="C315" s="23">
        <v>45186</v>
      </c>
      <c r="D315" s="23">
        <v>45191</v>
      </c>
      <c r="E315" s="8" t="s">
        <v>39</v>
      </c>
      <c r="F315" s="8" t="s">
        <v>22</v>
      </c>
      <c r="G315" s="8" t="s">
        <v>23</v>
      </c>
      <c r="H315" s="8" t="s">
        <v>34</v>
      </c>
      <c r="I315" s="8" t="s">
        <v>51</v>
      </c>
      <c r="J315" s="8" t="s">
        <v>59</v>
      </c>
      <c r="K315" s="8" t="s">
        <v>44</v>
      </c>
      <c r="L315" s="8">
        <v>8</v>
      </c>
      <c r="M315" s="8">
        <v>2993.25</v>
      </c>
      <c r="N315" s="8">
        <v>10</v>
      </c>
    </row>
    <row r="316" spans="1:14">
      <c r="A316" s="8">
        <v>10394</v>
      </c>
      <c r="B316" s="8">
        <v>1421</v>
      </c>
      <c r="C316" s="23">
        <v>45172</v>
      </c>
      <c r="D316" s="23">
        <v>45173</v>
      </c>
      <c r="E316" s="8" t="s">
        <v>21</v>
      </c>
      <c r="F316" s="8" t="s">
        <v>28</v>
      </c>
      <c r="G316" s="8" t="s">
        <v>16</v>
      </c>
      <c r="H316" s="8" t="s">
        <v>17</v>
      </c>
      <c r="I316" s="8" t="s">
        <v>48</v>
      </c>
      <c r="J316" s="8" t="s">
        <v>49</v>
      </c>
      <c r="K316" s="8" t="s">
        <v>46</v>
      </c>
      <c r="L316" s="8">
        <v>6</v>
      </c>
      <c r="M316" s="8">
        <v>2716.48</v>
      </c>
      <c r="N316" s="8">
        <v>0</v>
      </c>
    </row>
    <row r="317" spans="1:14">
      <c r="A317" s="8">
        <v>10395</v>
      </c>
      <c r="B317" s="8">
        <v>1103</v>
      </c>
      <c r="C317" s="23">
        <v>45201</v>
      </c>
      <c r="D317" s="23">
        <v>45206</v>
      </c>
      <c r="E317" s="8" t="s">
        <v>15</v>
      </c>
      <c r="F317" s="8" t="s">
        <v>22</v>
      </c>
      <c r="G317" s="8" t="s">
        <v>23</v>
      </c>
      <c r="H317" s="8" t="s">
        <v>43</v>
      </c>
      <c r="I317" s="8" t="s">
        <v>25</v>
      </c>
      <c r="J317" s="8" t="s">
        <v>35</v>
      </c>
      <c r="K317" s="8" t="s">
        <v>44</v>
      </c>
      <c r="L317" s="8">
        <v>2</v>
      </c>
      <c r="M317" s="8">
        <v>610.30999999999995</v>
      </c>
      <c r="N317" s="8">
        <v>10</v>
      </c>
    </row>
    <row r="318" spans="1:14">
      <c r="A318" s="8">
        <v>10396</v>
      </c>
      <c r="B318" s="8">
        <v>1851</v>
      </c>
      <c r="C318" s="23">
        <v>44958</v>
      </c>
      <c r="D318" s="23">
        <v>44966</v>
      </c>
      <c r="E318" s="8" t="s">
        <v>45</v>
      </c>
      <c r="F318" s="8" t="s">
        <v>15</v>
      </c>
      <c r="G318" s="8" t="s">
        <v>29</v>
      </c>
      <c r="H318" s="8" t="s">
        <v>43</v>
      </c>
      <c r="I318" s="8" t="s">
        <v>48</v>
      </c>
      <c r="J318" s="8" t="s">
        <v>50</v>
      </c>
      <c r="K318" s="8" t="s">
        <v>46</v>
      </c>
      <c r="L318" s="8">
        <v>6</v>
      </c>
      <c r="M318" s="8">
        <v>2354.67</v>
      </c>
      <c r="N318" s="8">
        <v>15</v>
      </c>
    </row>
    <row r="319" spans="1:14">
      <c r="A319" s="8">
        <v>10398</v>
      </c>
      <c r="B319" s="8">
        <v>1226</v>
      </c>
      <c r="C319" s="23">
        <v>44938</v>
      </c>
      <c r="D319" s="23">
        <v>44943</v>
      </c>
      <c r="E319" s="8" t="s">
        <v>21</v>
      </c>
      <c r="F319" s="8" t="s">
        <v>28</v>
      </c>
      <c r="G319" s="8" t="s">
        <v>16</v>
      </c>
      <c r="H319" s="8" t="s">
        <v>43</v>
      </c>
      <c r="I319" s="8" t="s">
        <v>48</v>
      </c>
      <c r="J319" s="8" t="s">
        <v>62</v>
      </c>
      <c r="K319" s="8" t="s">
        <v>32</v>
      </c>
      <c r="L319" s="8">
        <v>5</v>
      </c>
      <c r="M319" s="8">
        <v>3245.77</v>
      </c>
      <c r="N319" s="8">
        <v>0</v>
      </c>
    </row>
    <row r="320" spans="1:14">
      <c r="A320" s="8">
        <v>10399</v>
      </c>
      <c r="B320" s="8">
        <v>1111</v>
      </c>
      <c r="C320" s="23">
        <v>45228</v>
      </c>
      <c r="D320" s="23">
        <v>45237</v>
      </c>
      <c r="E320" s="8" t="s">
        <v>15</v>
      </c>
      <c r="F320" s="8" t="s">
        <v>15</v>
      </c>
      <c r="G320" s="8" t="s">
        <v>23</v>
      </c>
      <c r="H320" s="8" t="s">
        <v>41</v>
      </c>
      <c r="I320" s="8" t="s">
        <v>18</v>
      </c>
      <c r="J320" s="8" t="s">
        <v>42</v>
      </c>
      <c r="K320" s="8" t="s">
        <v>32</v>
      </c>
      <c r="L320" s="8">
        <v>3</v>
      </c>
      <c r="M320" s="8">
        <v>1789.86</v>
      </c>
      <c r="N320" s="8">
        <v>0</v>
      </c>
    </row>
    <row r="321" spans="1:14">
      <c r="A321" s="8">
        <v>10403</v>
      </c>
      <c r="B321" s="8">
        <v>1152</v>
      </c>
      <c r="C321" s="23">
        <v>45035</v>
      </c>
      <c r="D321" s="23">
        <v>45037</v>
      </c>
      <c r="E321" s="8" t="s">
        <v>15</v>
      </c>
      <c r="F321" s="8" t="s">
        <v>37</v>
      </c>
      <c r="G321" s="8" t="s">
        <v>23</v>
      </c>
      <c r="H321" s="8" t="s">
        <v>43</v>
      </c>
      <c r="I321" s="8" t="s">
        <v>25</v>
      </c>
      <c r="J321" s="8" t="s">
        <v>35</v>
      </c>
      <c r="K321" s="8" t="s">
        <v>20</v>
      </c>
      <c r="L321" s="8">
        <v>1</v>
      </c>
      <c r="M321" s="8">
        <v>2743.75</v>
      </c>
      <c r="N321" s="8">
        <v>15</v>
      </c>
    </row>
    <row r="322" spans="1:14">
      <c r="A322" s="8">
        <v>10405</v>
      </c>
      <c r="B322" s="8">
        <v>1913</v>
      </c>
      <c r="C322" s="23">
        <v>45084</v>
      </c>
      <c r="D322" s="23">
        <v>45091</v>
      </c>
      <c r="E322" s="8" t="s">
        <v>45</v>
      </c>
      <c r="F322" s="8" t="s">
        <v>22</v>
      </c>
      <c r="G322" s="8" t="s">
        <v>23</v>
      </c>
      <c r="H322" s="8" t="s">
        <v>24</v>
      </c>
      <c r="I322" s="8" t="s">
        <v>18</v>
      </c>
      <c r="J322" s="8" t="s">
        <v>68</v>
      </c>
      <c r="K322" s="8" t="s">
        <v>44</v>
      </c>
      <c r="L322" s="8">
        <v>4</v>
      </c>
      <c r="M322" s="8">
        <v>1333.99</v>
      </c>
      <c r="N322" s="8">
        <v>5</v>
      </c>
    </row>
    <row r="323" spans="1:14">
      <c r="A323" s="8">
        <v>10406</v>
      </c>
      <c r="B323" s="8">
        <v>1895</v>
      </c>
      <c r="C323" s="23">
        <v>45195</v>
      </c>
      <c r="D323" s="23">
        <v>45204</v>
      </c>
      <c r="E323" s="8" t="s">
        <v>15</v>
      </c>
      <c r="F323" s="8" t="s">
        <v>28</v>
      </c>
      <c r="G323" s="8" t="s">
        <v>29</v>
      </c>
      <c r="H323" s="8" t="s">
        <v>43</v>
      </c>
      <c r="I323" s="8" t="s">
        <v>48</v>
      </c>
      <c r="J323" s="8" t="s">
        <v>50</v>
      </c>
      <c r="K323" s="8" t="s">
        <v>20</v>
      </c>
      <c r="L323" s="8">
        <v>1</v>
      </c>
      <c r="M323" s="8">
        <v>2044.41</v>
      </c>
      <c r="N323" s="8">
        <v>0</v>
      </c>
    </row>
    <row r="324" spans="1:14">
      <c r="A324" s="8">
        <v>10407</v>
      </c>
      <c r="B324" s="8">
        <v>1877</v>
      </c>
      <c r="C324" s="23">
        <v>45088</v>
      </c>
      <c r="D324" s="23">
        <v>45090</v>
      </c>
      <c r="E324" s="8" t="s">
        <v>21</v>
      </c>
      <c r="F324" s="8" t="s">
        <v>22</v>
      </c>
      <c r="G324" s="8" t="s">
        <v>23</v>
      </c>
      <c r="H324" s="8" t="s">
        <v>24</v>
      </c>
      <c r="I324" s="8" t="s">
        <v>51</v>
      </c>
      <c r="J324" s="8" t="s">
        <v>52</v>
      </c>
      <c r="K324" s="8" t="s">
        <v>32</v>
      </c>
      <c r="L324" s="8">
        <v>9</v>
      </c>
      <c r="M324" s="8">
        <v>3216.56</v>
      </c>
      <c r="N324" s="8">
        <v>20</v>
      </c>
    </row>
    <row r="325" spans="1:14">
      <c r="A325" s="8">
        <v>10409</v>
      </c>
      <c r="B325" s="8">
        <v>1705</v>
      </c>
      <c r="C325" s="23">
        <v>45028</v>
      </c>
      <c r="D325" s="23">
        <v>45034</v>
      </c>
      <c r="E325" s="8" t="s">
        <v>36</v>
      </c>
      <c r="F325" s="8" t="s">
        <v>15</v>
      </c>
      <c r="G325" s="8" t="s">
        <v>23</v>
      </c>
      <c r="H325" s="8" t="s">
        <v>17</v>
      </c>
      <c r="I325" s="8" t="s">
        <v>30</v>
      </c>
      <c r="J325" s="8" t="s">
        <v>38</v>
      </c>
      <c r="K325" s="8" t="s">
        <v>32</v>
      </c>
      <c r="L325" s="8">
        <v>7</v>
      </c>
      <c r="M325" s="8">
        <v>1020.23</v>
      </c>
      <c r="N325" s="8">
        <v>10</v>
      </c>
    </row>
    <row r="326" spans="1:14">
      <c r="A326" s="8">
        <v>10411</v>
      </c>
      <c r="B326" s="8">
        <v>1162</v>
      </c>
      <c r="C326" s="23">
        <v>44985</v>
      </c>
      <c r="D326" s="23">
        <v>44993</v>
      </c>
      <c r="E326" s="8" t="s">
        <v>45</v>
      </c>
      <c r="F326" s="8" t="s">
        <v>15</v>
      </c>
      <c r="G326" s="8" t="s">
        <v>29</v>
      </c>
      <c r="H326" s="8" t="s">
        <v>24</v>
      </c>
      <c r="I326" s="8" t="s">
        <v>18</v>
      </c>
      <c r="J326" s="8" t="s">
        <v>42</v>
      </c>
      <c r="K326" s="8" t="s">
        <v>32</v>
      </c>
      <c r="L326" s="8">
        <v>3</v>
      </c>
      <c r="M326" s="8">
        <v>2165.7199999999998</v>
      </c>
      <c r="N326" s="8">
        <v>5</v>
      </c>
    </row>
    <row r="327" spans="1:14">
      <c r="A327" s="8">
        <v>10413</v>
      </c>
      <c r="B327" s="8">
        <v>1956</v>
      </c>
      <c r="C327" s="23">
        <v>45054</v>
      </c>
      <c r="D327" s="23">
        <v>45056</v>
      </c>
      <c r="E327" s="8" t="s">
        <v>36</v>
      </c>
      <c r="F327" s="8" t="s">
        <v>53</v>
      </c>
      <c r="G327" s="8" t="s">
        <v>23</v>
      </c>
      <c r="H327" s="8" t="s">
        <v>17</v>
      </c>
      <c r="I327" s="8" t="s">
        <v>51</v>
      </c>
      <c r="J327" s="8" t="s">
        <v>52</v>
      </c>
      <c r="K327" s="8" t="s">
        <v>27</v>
      </c>
      <c r="L327" s="8">
        <v>8</v>
      </c>
      <c r="M327" s="8">
        <v>1297.5899999999999</v>
      </c>
      <c r="N327" s="8">
        <v>0</v>
      </c>
    </row>
    <row r="328" spans="1:14">
      <c r="A328" s="8">
        <v>10414</v>
      </c>
      <c r="B328" s="8">
        <v>1680</v>
      </c>
      <c r="C328" s="23">
        <v>45209</v>
      </c>
      <c r="D328" s="23">
        <v>45212</v>
      </c>
      <c r="E328" s="8" t="s">
        <v>45</v>
      </c>
      <c r="F328" s="8" t="s">
        <v>53</v>
      </c>
      <c r="G328" s="8" t="s">
        <v>29</v>
      </c>
      <c r="H328" s="8" t="s">
        <v>41</v>
      </c>
      <c r="I328" s="8" t="s">
        <v>25</v>
      </c>
      <c r="J328" s="8" t="s">
        <v>35</v>
      </c>
      <c r="K328" s="8" t="s">
        <v>44</v>
      </c>
      <c r="L328" s="8">
        <v>1</v>
      </c>
      <c r="M328" s="8">
        <v>1219.7</v>
      </c>
      <c r="N328" s="8">
        <v>5</v>
      </c>
    </row>
    <row r="329" spans="1:14">
      <c r="A329" s="8">
        <v>10417</v>
      </c>
      <c r="B329" s="8">
        <v>1579</v>
      </c>
      <c r="C329" s="23">
        <v>45057</v>
      </c>
      <c r="D329" s="23">
        <v>45065</v>
      </c>
      <c r="E329" s="8" t="s">
        <v>21</v>
      </c>
      <c r="F329" s="8" t="s">
        <v>53</v>
      </c>
      <c r="G329" s="8" t="s">
        <v>16</v>
      </c>
      <c r="H329" s="8" t="s">
        <v>43</v>
      </c>
      <c r="I329" s="8" t="s">
        <v>51</v>
      </c>
      <c r="J329" s="8" t="s">
        <v>63</v>
      </c>
      <c r="K329" s="8" t="s">
        <v>44</v>
      </c>
      <c r="L329" s="8">
        <v>1</v>
      </c>
      <c r="M329" s="8">
        <v>3354.81</v>
      </c>
      <c r="N329" s="8">
        <v>0</v>
      </c>
    </row>
    <row r="330" spans="1:14">
      <c r="A330" s="8">
        <v>10418</v>
      </c>
      <c r="B330" s="8">
        <v>1800</v>
      </c>
      <c r="C330" s="23">
        <v>45279</v>
      </c>
      <c r="D330" s="23">
        <v>45280</v>
      </c>
      <c r="E330" s="8" t="s">
        <v>39</v>
      </c>
      <c r="F330" s="8" t="s">
        <v>53</v>
      </c>
      <c r="G330" s="8" t="s">
        <v>23</v>
      </c>
      <c r="H330" s="8" t="s">
        <v>34</v>
      </c>
      <c r="I330" s="8" t="s">
        <v>51</v>
      </c>
      <c r="J330" s="8" t="s">
        <v>55</v>
      </c>
      <c r="K330" s="8" t="s">
        <v>32</v>
      </c>
      <c r="L330" s="8">
        <v>8</v>
      </c>
      <c r="M330" s="8">
        <v>3905.57</v>
      </c>
      <c r="N330" s="8">
        <v>10</v>
      </c>
    </row>
    <row r="331" spans="1:14">
      <c r="A331" s="8">
        <v>10422</v>
      </c>
      <c r="B331" s="8">
        <v>1915</v>
      </c>
      <c r="C331" s="23">
        <v>45059</v>
      </c>
      <c r="D331" s="23">
        <v>45061</v>
      </c>
      <c r="E331" s="8" t="s">
        <v>15</v>
      </c>
      <c r="F331" s="8" t="s">
        <v>53</v>
      </c>
      <c r="G331" s="8" t="s">
        <v>16</v>
      </c>
      <c r="H331" s="8" t="s">
        <v>17</v>
      </c>
      <c r="I331" s="8" t="s">
        <v>51</v>
      </c>
      <c r="J331" s="8" t="s">
        <v>63</v>
      </c>
      <c r="K331" s="8" t="s">
        <v>46</v>
      </c>
      <c r="L331" s="8">
        <v>6</v>
      </c>
      <c r="M331" s="8">
        <v>1288.31</v>
      </c>
      <c r="N331" s="8">
        <v>15</v>
      </c>
    </row>
    <row r="332" spans="1:14">
      <c r="A332" s="8">
        <v>10423</v>
      </c>
      <c r="B332" s="8">
        <v>1503</v>
      </c>
      <c r="C332" s="23">
        <v>45153</v>
      </c>
      <c r="D332" s="23">
        <v>45155</v>
      </c>
      <c r="E332" s="8" t="s">
        <v>39</v>
      </c>
      <c r="F332" s="8" t="s">
        <v>15</v>
      </c>
      <c r="G332" s="8" t="s">
        <v>23</v>
      </c>
      <c r="H332" s="8" t="s">
        <v>43</v>
      </c>
      <c r="I332" s="8" t="s">
        <v>51</v>
      </c>
      <c r="J332" s="8" t="s">
        <v>59</v>
      </c>
      <c r="K332" s="8" t="s">
        <v>46</v>
      </c>
      <c r="L332" s="8">
        <v>9</v>
      </c>
      <c r="M332" s="8">
        <v>3740.3</v>
      </c>
      <c r="N332" s="8">
        <v>10</v>
      </c>
    </row>
    <row r="333" spans="1:14">
      <c r="A333" s="8">
        <v>10427</v>
      </c>
      <c r="B333" s="8">
        <v>1194</v>
      </c>
      <c r="C333" s="23">
        <v>45137</v>
      </c>
      <c r="D333" s="23">
        <v>45140</v>
      </c>
      <c r="E333" s="8" t="s">
        <v>39</v>
      </c>
      <c r="F333" s="8" t="s">
        <v>22</v>
      </c>
      <c r="G333" s="8" t="s">
        <v>23</v>
      </c>
      <c r="H333" s="8" t="s">
        <v>24</v>
      </c>
      <c r="I333" s="8" t="s">
        <v>18</v>
      </c>
      <c r="J333" s="8" t="s">
        <v>54</v>
      </c>
      <c r="K333" s="8" t="s">
        <v>27</v>
      </c>
      <c r="L333" s="8">
        <v>9</v>
      </c>
      <c r="M333" s="8">
        <v>2454.59</v>
      </c>
      <c r="N333" s="8">
        <v>5</v>
      </c>
    </row>
    <row r="334" spans="1:14">
      <c r="A334" s="8">
        <v>10431</v>
      </c>
      <c r="B334" s="8">
        <v>1687</v>
      </c>
      <c r="C334" s="23">
        <v>45139</v>
      </c>
      <c r="D334" s="23">
        <v>45146</v>
      </c>
      <c r="E334" s="8" t="s">
        <v>45</v>
      </c>
      <c r="F334" s="8" t="s">
        <v>37</v>
      </c>
      <c r="G334" s="8" t="s">
        <v>29</v>
      </c>
      <c r="H334" s="8" t="s">
        <v>34</v>
      </c>
      <c r="I334" s="8" t="s">
        <v>48</v>
      </c>
      <c r="J334" s="8" t="s">
        <v>50</v>
      </c>
      <c r="K334" s="8" t="s">
        <v>27</v>
      </c>
      <c r="L334" s="8">
        <v>6</v>
      </c>
      <c r="M334" s="8">
        <v>2247.37</v>
      </c>
      <c r="N334" s="8">
        <v>15</v>
      </c>
    </row>
    <row r="335" spans="1:14">
      <c r="A335" s="8">
        <v>10434</v>
      </c>
      <c r="B335" s="8">
        <v>1882</v>
      </c>
      <c r="C335" s="23">
        <v>45057</v>
      </c>
      <c r="D335" s="23">
        <v>45062</v>
      </c>
      <c r="E335" s="8" t="s">
        <v>45</v>
      </c>
      <c r="F335" s="8" t="s">
        <v>53</v>
      </c>
      <c r="G335" s="8" t="s">
        <v>23</v>
      </c>
      <c r="H335" s="8" t="s">
        <v>24</v>
      </c>
      <c r="I335" s="8" t="s">
        <v>18</v>
      </c>
      <c r="J335" s="8" t="s">
        <v>19</v>
      </c>
      <c r="K335" s="8" t="s">
        <v>44</v>
      </c>
      <c r="L335" s="8">
        <v>8</v>
      </c>
      <c r="M335" s="8">
        <v>437.36</v>
      </c>
      <c r="N335" s="8">
        <v>20</v>
      </c>
    </row>
    <row r="336" spans="1:14">
      <c r="A336" s="8">
        <v>10435</v>
      </c>
      <c r="B336" s="8">
        <v>1469</v>
      </c>
      <c r="C336" s="23">
        <v>45002</v>
      </c>
      <c r="D336" s="23">
        <v>45009</v>
      </c>
      <c r="E336" s="8" t="s">
        <v>14</v>
      </c>
      <c r="F336" s="8" t="s">
        <v>28</v>
      </c>
      <c r="G336" s="8" t="s">
        <v>23</v>
      </c>
      <c r="H336" s="8" t="s">
        <v>43</v>
      </c>
      <c r="I336" s="8" t="s">
        <v>51</v>
      </c>
      <c r="J336" s="8" t="s">
        <v>55</v>
      </c>
      <c r="K336" s="8" t="s">
        <v>20</v>
      </c>
      <c r="L336" s="8">
        <v>3</v>
      </c>
      <c r="M336" s="8">
        <v>3644.78</v>
      </c>
      <c r="N336" s="8">
        <v>0</v>
      </c>
    </row>
    <row r="337" spans="1:14">
      <c r="A337" s="8">
        <v>10436</v>
      </c>
      <c r="B337" s="8">
        <v>1374</v>
      </c>
      <c r="C337" s="23">
        <v>45212</v>
      </c>
      <c r="D337" s="23">
        <v>45213</v>
      </c>
      <c r="E337" s="8" t="s">
        <v>14</v>
      </c>
      <c r="F337" s="8" t="s">
        <v>22</v>
      </c>
      <c r="G337" s="8" t="s">
        <v>29</v>
      </c>
      <c r="H337" s="8" t="s">
        <v>17</v>
      </c>
      <c r="I337" s="8" t="s">
        <v>51</v>
      </c>
      <c r="J337" s="8" t="s">
        <v>59</v>
      </c>
      <c r="K337" s="8" t="s">
        <v>20</v>
      </c>
      <c r="L337" s="8">
        <v>3</v>
      </c>
      <c r="M337" s="8">
        <v>3986.78</v>
      </c>
      <c r="N337" s="8">
        <v>20</v>
      </c>
    </row>
    <row r="338" spans="1:14">
      <c r="A338" s="8">
        <v>10438</v>
      </c>
      <c r="B338" s="8">
        <v>1749</v>
      </c>
      <c r="C338" s="23">
        <v>45082</v>
      </c>
      <c r="D338" s="23">
        <v>45091</v>
      </c>
      <c r="E338" s="8" t="s">
        <v>45</v>
      </c>
      <c r="F338" s="8" t="s">
        <v>22</v>
      </c>
      <c r="G338" s="8" t="s">
        <v>29</v>
      </c>
      <c r="H338" s="8" t="s">
        <v>17</v>
      </c>
      <c r="I338" s="8" t="s">
        <v>25</v>
      </c>
      <c r="J338" s="8" t="s">
        <v>60</v>
      </c>
      <c r="K338" s="8" t="s">
        <v>46</v>
      </c>
      <c r="L338" s="8">
        <v>5</v>
      </c>
      <c r="M338" s="8">
        <v>3116.22</v>
      </c>
      <c r="N338" s="8">
        <v>10</v>
      </c>
    </row>
    <row r="339" spans="1:14">
      <c r="A339" s="8">
        <v>10439</v>
      </c>
      <c r="B339" s="8">
        <v>1669</v>
      </c>
      <c r="C339" s="23">
        <v>45174</v>
      </c>
      <c r="D339" s="23">
        <v>45179</v>
      </c>
      <c r="E339" s="8" t="s">
        <v>33</v>
      </c>
      <c r="F339" s="8" t="s">
        <v>28</v>
      </c>
      <c r="G339" s="8" t="s">
        <v>23</v>
      </c>
      <c r="H339" s="8" t="s">
        <v>34</v>
      </c>
      <c r="I339" s="8" t="s">
        <v>48</v>
      </c>
      <c r="J339" s="8" t="s">
        <v>50</v>
      </c>
      <c r="K339" s="8" t="s">
        <v>27</v>
      </c>
      <c r="L339" s="8">
        <v>3</v>
      </c>
      <c r="M339" s="8">
        <v>1448.62</v>
      </c>
      <c r="N339" s="8">
        <v>10</v>
      </c>
    </row>
    <row r="340" spans="1:14">
      <c r="A340" s="8">
        <v>10440</v>
      </c>
      <c r="B340" s="8">
        <v>1037</v>
      </c>
      <c r="C340" s="23">
        <v>45144</v>
      </c>
      <c r="D340" s="23">
        <v>45149</v>
      </c>
      <c r="E340" s="8" t="s">
        <v>36</v>
      </c>
      <c r="F340" s="8" t="s">
        <v>53</v>
      </c>
      <c r="G340" s="8" t="s">
        <v>16</v>
      </c>
      <c r="H340" s="8" t="s">
        <v>41</v>
      </c>
      <c r="I340" s="8" t="s">
        <v>48</v>
      </c>
      <c r="J340" s="8" t="s">
        <v>49</v>
      </c>
      <c r="K340" s="8" t="s">
        <v>32</v>
      </c>
      <c r="L340" s="8">
        <v>1</v>
      </c>
      <c r="M340" s="8">
        <v>3775.07</v>
      </c>
      <c r="N340" s="8">
        <v>10</v>
      </c>
    </row>
    <row r="341" spans="1:14">
      <c r="A341" s="8">
        <v>10441</v>
      </c>
      <c r="B341" s="8">
        <v>1229</v>
      </c>
      <c r="C341" s="23">
        <v>45116</v>
      </c>
      <c r="D341" s="23">
        <v>45119</v>
      </c>
      <c r="E341" s="8" t="s">
        <v>15</v>
      </c>
      <c r="F341" s="8" t="s">
        <v>22</v>
      </c>
      <c r="G341" s="8" t="s">
        <v>16</v>
      </c>
      <c r="H341" s="8" t="s">
        <v>41</v>
      </c>
      <c r="I341" s="8" t="s">
        <v>30</v>
      </c>
      <c r="J341" s="8" t="s">
        <v>64</v>
      </c>
      <c r="K341" s="8" t="s">
        <v>44</v>
      </c>
      <c r="L341" s="8">
        <v>3</v>
      </c>
      <c r="M341" s="8">
        <v>2189.4</v>
      </c>
      <c r="N341" s="8">
        <v>20</v>
      </c>
    </row>
    <row r="342" spans="1:14">
      <c r="A342" s="8">
        <v>10442</v>
      </c>
      <c r="B342" s="8">
        <v>1364</v>
      </c>
      <c r="C342" s="23">
        <v>45089</v>
      </c>
      <c r="D342" s="23">
        <v>45094</v>
      </c>
      <c r="E342" s="8" t="s">
        <v>14</v>
      </c>
      <c r="F342" s="8" t="s">
        <v>22</v>
      </c>
      <c r="G342" s="8" t="s">
        <v>23</v>
      </c>
      <c r="H342" s="8" t="s">
        <v>34</v>
      </c>
      <c r="I342" s="8" t="s">
        <v>56</v>
      </c>
      <c r="J342" s="8" t="s">
        <v>57</v>
      </c>
      <c r="K342" s="8" t="s">
        <v>44</v>
      </c>
      <c r="L342" s="8">
        <v>9</v>
      </c>
      <c r="M342" s="8">
        <v>2969.7</v>
      </c>
      <c r="N342" s="8">
        <v>10</v>
      </c>
    </row>
    <row r="343" spans="1:14">
      <c r="A343" s="8">
        <v>10444</v>
      </c>
      <c r="B343" s="8">
        <v>1437</v>
      </c>
      <c r="C343" s="23">
        <v>44960</v>
      </c>
      <c r="D343" s="23">
        <v>44969</v>
      </c>
      <c r="E343" s="8" t="s">
        <v>39</v>
      </c>
      <c r="F343" s="8" t="s">
        <v>37</v>
      </c>
      <c r="G343" s="8" t="s">
        <v>29</v>
      </c>
      <c r="H343" s="8" t="s">
        <v>17</v>
      </c>
      <c r="I343" s="8" t="s">
        <v>30</v>
      </c>
      <c r="J343" s="8" t="s">
        <v>31</v>
      </c>
      <c r="K343" s="8" t="s">
        <v>20</v>
      </c>
      <c r="L343" s="8">
        <v>2</v>
      </c>
      <c r="M343" s="8">
        <v>3904.44</v>
      </c>
      <c r="N343" s="8">
        <v>10</v>
      </c>
    </row>
    <row r="344" spans="1:14">
      <c r="A344" s="8">
        <v>10447</v>
      </c>
      <c r="B344" s="8">
        <v>1026</v>
      </c>
      <c r="C344" s="23">
        <v>45264</v>
      </c>
      <c r="D344" s="23">
        <v>45265</v>
      </c>
      <c r="E344" s="8" t="s">
        <v>33</v>
      </c>
      <c r="F344" s="8" t="s">
        <v>37</v>
      </c>
      <c r="G344" s="8" t="s">
        <v>16</v>
      </c>
      <c r="H344" s="8" t="s">
        <v>34</v>
      </c>
      <c r="I344" s="8" t="s">
        <v>25</v>
      </c>
      <c r="J344" s="8" t="s">
        <v>67</v>
      </c>
      <c r="K344" s="8" t="s">
        <v>27</v>
      </c>
      <c r="L344" s="8">
        <v>4</v>
      </c>
      <c r="M344" s="8">
        <v>3871.21</v>
      </c>
      <c r="N344" s="8">
        <v>10</v>
      </c>
    </row>
    <row r="345" spans="1:14">
      <c r="A345" s="8">
        <v>10448</v>
      </c>
      <c r="B345" s="8">
        <v>1225</v>
      </c>
      <c r="C345" s="23">
        <v>45240</v>
      </c>
      <c r="D345" s="23">
        <v>45247</v>
      </c>
      <c r="E345" s="8" t="s">
        <v>39</v>
      </c>
      <c r="F345" s="8" t="s">
        <v>37</v>
      </c>
      <c r="G345" s="8" t="s">
        <v>29</v>
      </c>
      <c r="H345" s="8" t="s">
        <v>17</v>
      </c>
      <c r="I345" s="8" t="s">
        <v>18</v>
      </c>
      <c r="J345" s="8" t="s">
        <v>19</v>
      </c>
      <c r="K345" s="8" t="s">
        <v>32</v>
      </c>
      <c r="L345" s="8">
        <v>7</v>
      </c>
      <c r="M345" s="8">
        <v>2568.2600000000002</v>
      </c>
      <c r="N345" s="8">
        <v>10</v>
      </c>
    </row>
    <row r="346" spans="1:14">
      <c r="A346" s="8">
        <v>10452</v>
      </c>
      <c r="B346" s="8">
        <v>1283</v>
      </c>
      <c r="C346" s="23">
        <v>45076</v>
      </c>
      <c r="D346" s="23">
        <v>45082</v>
      </c>
      <c r="E346" s="8" t="s">
        <v>45</v>
      </c>
      <c r="F346" s="8" t="s">
        <v>22</v>
      </c>
      <c r="G346" s="8" t="s">
        <v>23</v>
      </c>
      <c r="H346" s="8" t="s">
        <v>41</v>
      </c>
      <c r="I346" s="8" t="s">
        <v>48</v>
      </c>
      <c r="J346" s="8" t="s">
        <v>66</v>
      </c>
      <c r="K346" s="8" t="s">
        <v>27</v>
      </c>
      <c r="L346" s="8">
        <v>1</v>
      </c>
      <c r="M346" s="8">
        <v>1574.59</v>
      </c>
      <c r="N346" s="8">
        <v>5</v>
      </c>
    </row>
    <row r="347" spans="1:14">
      <c r="A347" s="8">
        <v>10454</v>
      </c>
      <c r="B347" s="8">
        <v>1959</v>
      </c>
      <c r="C347" s="23">
        <v>45251</v>
      </c>
      <c r="D347" s="23">
        <v>45255</v>
      </c>
      <c r="E347" s="8" t="s">
        <v>33</v>
      </c>
      <c r="F347" s="8" t="s">
        <v>40</v>
      </c>
      <c r="G347" s="8" t="s">
        <v>16</v>
      </c>
      <c r="H347" s="8" t="s">
        <v>24</v>
      </c>
      <c r="I347" s="8" t="s">
        <v>56</v>
      </c>
      <c r="J347" s="8" t="s">
        <v>57</v>
      </c>
      <c r="K347" s="8" t="s">
        <v>27</v>
      </c>
      <c r="L347" s="8">
        <v>9</v>
      </c>
      <c r="M347" s="8">
        <v>3191.56</v>
      </c>
      <c r="N347" s="8">
        <v>20</v>
      </c>
    </row>
    <row r="348" spans="1:14">
      <c r="A348" s="8">
        <v>10455</v>
      </c>
      <c r="B348" s="8">
        <v>1480</v>
      </c>
      <c r="C348" s="23">
        <v>45034</v>
      </c>
      <c r="D348" s="23">
        <v>45036</v>
      </c>
      <c r="E348" s="8" t="s">
        <v>14</v>
      </c>
      <c r="F348" s="8" t="s">
        <v>28</v>
      </c>
      <c r="G348" s="8" t="s">
        <v>16</v>
      </c>
      <c r="H348" s="8" t="s">
        <v>17</v>
      </c>
      <c r="I348" s="8" t="s">
        <v>51</v>
      </c>
      <c r="J348" s="8" t="s">
        <v>63</v>
      </c>
      <c r="K348" s="8" t="s">
        <v>44</v>
      </c>
      <c r="L348" s="8">
        <v>2</v>
      </c>
      <c r="M348" s="8">
        <v>1374.23</v>
      </c>
      <c r="N348" s="8">
        <v>0</v>
      </c>
    </row>
    <row r="349" spans="1:14">
      <c r="A349" s="8">
        <v>10457</v>
      </c>
      <c r="B349" s="8">
        <v>1828</v>
      </c>
      <c r="C349" s="23">
        <v>45276</v>
      </c>
      <c r="D349" s="23">
        <v>45280</v>
      </c>
      <c r="E349" s="8" t="s">
        <v>45</v>
      </c>
      <c r="F349" s="8" t="s">
        <v>28</v>
      </c>
      <c r="G349" s="8" t="s">
        <v>23</v>
      </c>
      <c r="H349" s="8" t="s">
        <v>43</v>
      </c>
      <c r="I349" s="8" t="s">
        <v>25</v>
      </c>
      <c r="J349" s="8" t="s">
        <v>26</v>
      </c>
      <c r="K349" s="8" t="s">
        <v>27</v>
      </c>
      <c r="L349" s="8">
        <v>5</v>
      </c>
      <c r="M349" s="8">
        <v>1480.66</v>
      </c>
      <c r="N349" s="8">
        <v>0</v>
      </c>
    </row>
    <row r="350" spans="1:14">
      <c r="A350" s="8">
        <v>10460</v>
      </c>
      <c r="B350" s="8">
        <v>1515</v>
      </c>
      <c r="C350" s="23">
        <v>45215</v>
      </c>
      <c r="D350" s="23">
        <v>45221</v>
      </c>
      <c r="E350" s="8" t="s">
        <v>21</v>
      </c>
      <c r="F350" s="8" t="s">
        <v>28</v>
      </c>
      <c r="G350" s="8" t="s">
        <v>23</v>
      </c>
      <c r="H350" s="8" t="s">
        <v>24</v>
      </c>
      <c r="I350" s="8" t="s">
        <v>48</v>
      </c>
      <c r="J350" s="8" t="s">
        <v>49</v>
      </c>
      <c r="K350" s="8" t="s">
        <v>20</v>
      </c>
      <c r="L350" s="8">
        <v>1</v>
      </c>
      <c r="M350" s="8">
        <v>445.38</v>
      </c>
      <c r="N350" s="8">
        <v>10</v>
      </c>
    </row>
    <row r="351" spans="1:14">
      <c r="A351" s="8">
        <v>10463</v>
      </c>
      <c r="B351" s="8">
        <v>1048</v>
      </c>
      <c r="C351" s="23">
        <v>44992</v>
      </c>
      <c r="D351" s="23">
        <v>45000</v>
      </c>
      <c r="E351" s="8" t="s">
        <v>21</v>
      </c>
      <c r="F351" s="8" t="s">
        <v>15</v>
      </c>
      <c r="G351" s="8" t="s">
        <v>23</v>
      </c>
      <c r="H351" s="8" t="s">
        <v>34</v>
      </c>
      <c r="I351" s="8" t="s">
        <v>25</v>
      </c>
      <c r="J351" s="8" t="s">
        <v>35</v>
      </c>
      <c r="K351" s="8" t="s">
        <v>46</v>
      </c>
      <c r="L351" s="8">
        <v>5</v>
      </c>
      <c r="M351" s="8">
        <v>2072.3200000000002</v>
      </c>
      <c r="N351" s="8">
        <v>15</v>
      </c>
    </row>
    <row r="352" spans="1:14">
      <c r="A352" s="8">
        <v>10464</v>
      </c>
      <c r="B352" s="8">
        <v>1511</v>
      </c>
      <c r="C352" s="23">
        <v>45174</v>
      </c>
      <c r="D352" s="23">
        <v>45176</v>
      </c>
      <c r="E352" s="8" t="s">
        <v>45</v>
      </c>
      <c r="F352" s="8" t="s">
        <v>22</v>
      </c>
      <c r="G352" s="8" t="s">
        <v>29</v>
      </c>
      <c r="H352" s="8" t="s">
        <v>41</v>
      </c>
      <c r="I352" s="8" t="s">
        <v>30</v>
      </c>
      <c r="J352" s="8" t="s">
        <v>64</v>
      </c>
      <c r="K352" s="8" t="s">
        <v>46</v>
      </c>
      <c r="L352" s="8">
        <v>1</v>
      </c>
      <c r="M352" s="8">
        <v>559.4</v>
      </c>
      <c r="N352" s="8">
        <v>20</v>
      </c>
    </row>
    <row r="353" spans="1:14">
      <c r="A353" s="8">
        <v>10465</v>
      </c>
      <c r="B353" s="8">
        <v>1016</v>
      </c>
      <c r="C353" s="23">
        <v>45082</v>
      </c>
      <c r="D353" s="23">
        <v>45089</v>
      </c>
      <c r="E353" s="8" t="s">
        <v>36</v>
      </c>
      <c r="F353" s="8" t="s">
        <v>22</v>
      </c>
      <c r="G353" s="8" t="s">
        <v>29</v>
      </c>
      <c r="H353" s="8" t="s">
        <v>43</v>
      </c>
      <c r="I353" s="8" t="s">
        <v>18</v>
      </c>
      <c r="J353" s="8" t="s">
        <v>42</v>
      </c>
      <c r="K353" s="8" t="s">
        <v>32</v>
      </c>
      <c r="L353" s="8">
        <v>4</v>
      </c>
      <c r="M353" s="8">
        <v>589.44000000000005</v>
      </c>
      <c r="N353" s="8">
        <v>20</v>
      </c>
    </row>
    <row r="354" spans="1:14">
      <c r="A354" s="8">
        <v>10466</v>
      </c>
      <c r="B354" s="8">
        <v>1171</v>
      </c>
      <c r="C354" s="23">
        <v>44973</v>
      </c>
      <c r="D354" s="23">
        <v>44975</v>
      </c>
      <c r="E354" s="8" t="s">
        <v>15</v>
      </c>
      <c r="F354" s="8" t="s">
        <v>40</v>
      </c>
      <c r="G354" s="8" t="s">
        <v>29</v>
      </c>
      <c r="H354" s="8" t="s">
        <v>34</v>
      </c>
      <c r="I354" s="8" t="s">
        <v>18</v>
      </c>
      <c r="J354" s="8" t="s">
        <v>42</v>
      </c>
      <c r="K354" s="8" t="s">
        <v>27</v>
      </c>
      <c r="L354" s="8">
        <v>6</v>
      </c>
      <c r="M354" s="8">
        <v>3773.04</v>
      </c>
      <c r="N354" s="8">
        <v>0</v>
      </c>
    </row>
    <row r="355" spans="1:14">
      <c r="A355" s="8">
        <v>10468</v>
      </c>
      <c r="B355" s="8">
        <v>1157</v>
      </c>
      <c r="C355" s="23">
        <v>45074</v>
      </c>
      <c r="D355" s="23">
        <v>45082</v>
      </c>
      <c r="E355" s="8" t="s">
        <v>21</v>
      </c>
      <c r="F355" s="8" t="s">
        <v>15</v>
      </c>
      <c r="G355" s="8" t="s">
        <v>16</v>
      </c>
      <c r="H355" s="8" t="s">
        <v>17</v>
      </c>
      <c r="I355" s="8" t="s">
        <v>56</v>
      </c>
      <c r="J355" s="8" t="s">
        <v>58</v>
      </c>
      <c r="K355" s="8" t="s">
        <v>44</v>
      </c>
      <c r="L355" s="8">
        <v>9</v>
      </c>
      <c r="M355" s="8">
        <v>1890.53</v>
      </c>
      <c r="N355" s="8">
        <v>15</v>
      </c>
    </row>
    <row r="356" spans="1:14">
      <c r="A356" s="8">
        <v>10470</v>
      </c>
      <c r="B356" s="8">
        <v>1045</v>
      </c>
      <c r="C356" s="23">
        <v>44927</v>
      </c>
      <c r="D356" s="23">
        <v>44936</v>
      </c>
      <c r="E356" s="8" t="s">
        <v>33</v>
      </c>
      <c r="F356" s="8" t="s">
        <v>28</v>
      </c>
      <c r="G356" s="8" t="s">
        <v>29</v>
      </c>
      <c r="H356" s="8" t="s">
        <v>17</v>
      </c>
      <c r="I356" s="8" t="s">
        <v>25</v>
      </c>
      <c r="J356" s="8" t="s">
        <v>35</v>
      </c>
      <c r="K356" s="8" t="s">
        <v>27</v>
      </c>
      <c r="L356" s="8">
        <v>8</v>
      </c>
      <c r="M356" s="8">
        <v>150.72</v>
      </c>
      <c r="N356" s="8">
        <v>5</v>
      </c>
    </row>
    <row r="357" spans="1:14">
      <c r="A357" s="8">
        <v>10472</v>
      </c>
      <c r="B357" s="8">
        <v>1517</v>
      </c>
      <c r="C357" s="23">
        <v>45269</v>
      </c>
      <c r="D357" s="23">
        <v>45278</v>
      </c>
      <c r="E357" s="8" t="s">
        <v>14</v>
      </c>
      <c r="F357" s="8" t="s">
        <v>53</v>
      </c>
      <c r="G357" s="8" t="s">
        <v>29</v>
      </c>
      <c r="H357" s="8" t="s">
        <v>34</v>
      </c>
      <c r="I357" s="8" t="s">
        <v>30</v>
      </c>
      <c r="J357" s="8" t="s">
        <v>47</v>
      </c>
      <c r="K357" s="8" t="s">
        <v>27</v>
      </c>
      <c r="L357" s="8">
        <v>5</v>
      </c>
      <c r="M357" s="8">
        <v>2523.25</v>
      </c>
      <c r="N357" s="8">
        <v>10</v>
      </c>
    </row>
    <row r="358" spans="1:14">
      <c r="A358" s="8">
        <v>10480</v>
      </c>
      <c r="B358" s="8">
        <v>1301</v>
      </c>
      <c r="C358" s="23">
        <v>45117</v>
      </c>
      <c r="D358" s="23">
        <v>45119</v>
      </c>
      <c r="E358" s="8" t="s">
        <v>15</v>
      </c>
      <c r="F358" s="8" t="s">
        <v>28</v>
      </c>
      <c r="G358" s="8" t="s">
        <v>16</v>
      </c>
      <c r="H358" s="8" t="s">
        <v>43</v>
      </c>
      <c r="I358" s="8" t="s">
        <v>25</v>
      </c>
      <c r="J358" s="8" t="s">
        <v>35</v>
      </c>
      <c r="K358" s="8" t="s">
        <v>46</v>
      </c>
      <c r="L358" s="8">
        <v>6</v>
      </c>
      <c r="M358" s="8">
        <v>845</v>
      </c>
      <c r="N358" s="8">
        <v>15</v>
      </c>
    </row>
    <row r="359" spans="1:14">
      <c r="A359" s="8">
        <v>10481</v>
      </c>
      <c r="B359" s="8">
        <v>1180</v>
      </c>
      <c r="C359" s="23">
        <v>44947</v>
      </c>
      <c r="D359" s="23">
        <v>44955</v>
      </c>
      <c r="E359" s="8" t="s">
        <v>33</v>
      </c>
      <c r="F359" s="8" t="s">
        <v>40</v>
      </c>
      <c r="G359" s="8" t="s">
        <v>16</v>
      </c>
      <c r="H359" s="8" t="s">
        <v>43</v>
      </c>
      <c r="I359" s="8" t="s">
        <v>48</v>
      </c>
      <c r="J359" s="8" t="s">
        <v>49</v>
      </c>
      <c r="K359" s="8" t="s">
        <v>46</v>
      </c>
      <c r="L359" s="8">
        <v>8</v>
      </c>
      <c r="M359" s="8">
        <v>1160.51</v>
      </c>
      <c r="N359" s="8">
        <v>0</v>
      </c>
    </row>
    <row r="360" spans="1:14">
      <c r="A360" s="8">
        <v>10482</v>
      </c>
      <c r="B360" s="8">
        <v>1606</v>
      </c>
      <c r="C360" s="23">
        <v>45153</v>
      </c>
      <c r="D360" s="23">
        <v>45162</v>
      </c>
      <c r="E360" s="8" t="s">
        <v>33</v>
      </c>
      <c r="F360" s="8" t="s">
        <v>53</v>
      </c>
      <c r="G360" s="8" t="s">
        <v>23</v>
      </c>
      <c r="H360" s="8" t="s">
        <v>24</v>
      </c>
      <c r="I360" s="8" t="s">
        <v>56</v>
      </c>
      <c r="J360" s="8" t="s">
        <v>65</v>
      </c>
      <c r="K360" s="8" t="s">
        <v>32</v>
      </c>
      <c r="L360" s="8">
        <v>7</v>
      </c>
      <c r="M360" s="8">
        <v>2172.2399999999998</v>
      </c>
      <c r="N360" s="8">
        <v>20</v>
      </c>
    </row>
    <row r="361" spans="1:14">
      <c r="A361" s="8">
        <v>10485</v>
      </c>
      <c r="B361" s="8">
        <v>1992</v>
      </c>
      <c r="C361" s="23">
        <v>45228</v>
      </c>
      <c r="D361" s="23">
        <v>45237</v>
      </c>
      <c r="E361" s="8" t="s">
        <v>15</v>
      </c>
      <c r="F361" s="8" t="s">
        <v>15</v>
      </c>
      <c r="G361" s="8" t="s">
        <v>16</v>
      </c>
      <c r="H361" s="8" t="s">
        <v>41</v>
      </c>
      <c r="I361" s="8" t="s">
        <v>18</v>
      </c>
      <c r="J361" s="8" t="s">
        <v>42</v>
      </c>
      <c r="K361" s="8" t="s">
        <v>44</v>
      </c>
      <c r="L361" s="8">
        <v>2</v>
      </c>
      <c r="M361" s="8">
        <v>1294.8399999999999</v>
      </c>
      <c r="N361" s="8">
        <v>15</v>
      </c>
    </row>
    <row r="362" spans="1:14">
      <c r="A362" s="8">
        <v>10486</v>
      </c>
      <c r="B362" s="8">
        <v>1115</v>
      </c>
      <c r="C362" s="23">
        <v>45068</v>
      </c>
      <c r="D362" s="23">
        <v>45077</v>
      </c>
      <c r="E362" s="8" t="s">
        <v>15</v>
      </c>
      <c r="F362" s="8" t="s">
        <v>40</v>
      </c>
      <c r="G362" s="8" t="s">
        <v>23</v>
      </c>
      <c r="H362" s="8" t="s">
        <v>41</v>
      </c>
      <c r="I362" s="8" t="s">
        <v>48</v>
      </c>
      <c r="J362" s="8" t="s">
        <v>62</v>
      </c>
      <c r="K362" s="8" t="s">
        <v>32</v>
      </c>
      <c r="L362" s="8">
        <v>9</v>
      </c>
      <c r="M362" s="8">
        <v>775.77</v>
      </c>
      <c r="N362" s="8">
        <v>0</v>
      </c>
    </row>
    <row r="363" spans="1:14">
      <c r="A363" s="8">
        <v>10487</v>
      </c>
      <c r="B363" s="8">
        <v>1190</v>
      </c>
      <c r="C363" s="23">
        <v>44965</v>
      </c>
      <c r="D363" s="23">
        <v>44966</v>
      </c>
      <c r="E363" s="8" t="s">
        <v>39</v>
      </c>
      <c r="F363" s="8" t="s">
        <v>15</v>
      </c>
      <c r="G363" s="8" t="s">
        <v>29</v>
      </c>
      <c r="H363" s="8" t="s">
        <v>24</v>
      </c>
      <c r="I363" s="8" t="s">
        <v>51</v>
      </c>
      <c r="J363" s="8" t="s">
        <v>52</v>
      </c>
      <c r="K363" s="8" t="s">
        <v>20</v>
      </c>
      <c r="L363" s="8">
        <v>4</v>
      </c>
      <c r="M363" s="8">
        <v>2751.14</v>
      </c>
      <c r="N363" s="8">
        <v>20</v>
      </c>
    </row>
    <row r="364" spans="1:14">
      <c r="A364" s="8">
        <v>10489</v>
      </c>
      <c r="B364" s="8">
        <v>1980</v>
      </c>
      <c r="C364" s="23">
        <v>45178</v>
      </c>
      <c r="D364" s="23">
        <v>45187</v>
      </c>
      <c r="E364" s="8" t="s">
        <v>33</v>
      </c>
      <c r="F364" s="8" t="s">
        <v>22</v>
      </c>
      <c r="G364" s="8" t="s">
        <v>23</v>
      </c>
      <c r="H364" s="8" t="s">
        <v>17</v>
      </c>
      <c r="I364" s="8" t="s">
        <v>56</v>
      </c>
      <c r="J364" s="8" t="s">
        <v>61</v>
      </c>
      <c r="K364" s="8" t="s">
        <v>32</v>
      </c>
      <c r="L364" s="8">
        <v>8</v>
      </c>
      <c r="M364" s="8">
        <v>2536.88</v>
      </c>
      <c r="N364" s="8">
        <v>5</v>
      </c>
    </row>
    <row r="365" spans="1:14">
      <c r="A365" s="8">
        <v>10490</v>
      </c>
      <c r="B365" s="8">
        <v>1927</v>
      </c>
      <c r="C365" s="23">
        <v>45259</v>
      </c>
      <c r="D365" s="23">
        <v>45261</v>
      </c>
      <c r="E365" s="8" t="s">
        <v>14</v>
      </c>
      <c r="F365" s="8" t="s">
        <v>28</v>
      </c>
      <c r="G365" s="8" t="s">
        <v>16</v>
      </c>
      <c r="H365" s="8" t="s">
        <v>34</v>
      </c>
      <c r="I365" s="8" t="s">
        <v>30</v>
      </c>
      <c r="J365" s="8" t="s">
        <v>31</v>
      </c>
      <c r="K365" s="8" t="s">
        <v>44</v>
      </c>
      <c r="L365" s="8">
        <v>7</v>
      </c>
      <c r="M365" s="8">
        <v>2838.06</v>
      </c>
      <c r="N365" s="8">
        <v>20</v>
      </c>
    </row>
    <row r="366" spans="1:14">
      <c r="A366" s="8">
        <v>10491</v>
      </c>
      <c r="B366" s="8">
        <v>1982</v>
      </c>
      <c r="C366" s="23">
        <v>45133</v>
      </c>
      <c r="D366" s="23">
        <v>45137</v>
      </c>
      <c r="E366" s="8" t="s">
        <v>15</v>
      </c>
      <c r="F366" s="8" t="s">
        <v>28</v>
      </c>
      <c r="G366" s="8" t="s">
        <v>16</v>
      </c>
      <c r="H366" s="8" t="s">
        <v>43</v>
      </c>
      <c r="I366" s="8" t="s">
        <v>48</v>
      </c>
      <c r="J366" s="8" t="s">
        <v>62</v>
      </c>
      <c r="K366" s="8" t="s">
        <v>27</v>
      </c>
      <c r="L366" s="8">
        <v>5</v>
      </c>
      <c r="M366" s="8">
        <v>977.43</v>
      </c>
      <c r="N366" s="8">
        <v>20</v>
      </c>
    </row>
    <row r="367" spans="1:14">
      <c r="A367" s="8">
        <v>10493</v>
      </c>
      <c r="B367" s="8">
        <v>1255</v>
      </c>
      <c r="C367" s="23">
        <v>45041</v>
      </c>
      <c r="D367" s="23">
        <v>45043</v>
      </c>
      <c r="E367" s="8" t="s">
        <v>39</v>
      </c>
      <c r="F367" s="8" t="s">
        <v>15</v>
      </c>
      <c r="G367" s="8" t="s">
        <v>23</v>
      </c>
      <c r="H367" s="8" t="s">
        <v>43</v>
      </c>
      <c r="I367" s="8" t="s">
        <v>48</v>
      </c>
      <c r="J367" s="8" t="s">
        <v>66</v>
      </c>
      <c r="K367" s="8" t="s">
        <v>27</v>
      </c>
      <c r="L367" s="8">
        <v>7</v>
      </c>
      <c r="M367" s="8">
        <v>1550.03</v>
      </c>
      <c r="N367" s="8">
        <v>10</v>
      </c>
    </row>
    <row r="368" spans="1:14">
      <c r="A368" s="8">
        <v>10494</v>
      </c>
      <c r="B368" s="8">
        <v>1322</v>
      </c>
      <c r="C368" s="23">
        <v>45151</v>
      </c>
      <c r="D368" s="23">
        <v>45154</v>
      </c>
      <c r="E368" s="8" t="s">
        <v>36</v>
      </c>
      <c r="F368" s="8" t="s">
        <v>40</v>
      </c>
      <c r="G368" s="8" t="s">
        <v>16</v>
      </c>
      <c r="H368" s="8" t="s">
        <v>43</v>
      </c>
      <c r="I368" s="8" t="s">
        <v>56</v>
      </c>
      <c r="J368" s="8" t="s">
        <v>65</v>
      </c>
      <c r="K368" s="8" t="s">
        <v>44</v>
      </c>
      <c r="L368" s="8">
        <v>5</v>
      </c>
      <c r="M368" s="8">
        <v>529.59</v>
      </c>
      <c r="N368" s="8">
        <v>5</v>
      </c>
    </row>
    <row r="369" spans="1:14">
      <c r="A369" s="8">
        <v>10495</v>
      </c>
      <c r="B369" s="8">
        <v>1127</v>
      </c>
      <c r="C369" s="23">
        <v>45060</v>
      </c>
      <c r="D369" s="23">
        <v>45063</v>
      </c>
      <c r="E369" s="8" t="s">
        <v>14</v>
      </c>
      <c r="F369" s="8" t="s">
        <v>22</v>
      </c>
      <c r="G369" s="8" t="s">
        <v>29</v>
      </c>
      <c r="H369" s="8" t="s">
        <v>24</v>
      </c>
      <c r="I369" s="8" t="s">
        <v>56</v>
      </c>
      <c r="J369" s="8" t="s">
        <v>58</v>
      </c>
      <c r="K369" s="8" t="s">
        <v>44</v>
      </c>
      <c r="L369" s="8">
        <v>8</v>
      </c>
      <c r="M369" s="8">
        <v>598.44000000000005</v>
      </c>
      <c r="N369" s="8">
        <v>0</v>
      </c>
    </row>
    <row r="370" spans="1:14">
      <c r="A370" s="8">
        <v>10496</v>
      </c>
      <c r="B370" s="8">
        <v>1017</v>
      </c>
      <c r="C370" s="23">
        <v>45177</v>
      </c>
      <c r="D370" s="23">
        <v>45178</v>
      </c>
      <c r="E370" s="8" t="s">
        <v>14</v>
      </c>
      <c r="F370" s="8" t="s">
        <v>22</v>
      </c>
      <c r="G370" s="8" t="s">
        <v>16</v>
      </c>
      <c r="H370" s="8" t="s">
        <v>41</v>
      </c>
      <c r="I370" s="8" t="s">
        <v>51</v>
      </c>
      <c r="J370" s="8" t="s">
        <v>59</v>
      </c>
      <c r="K370" s="8" t="s">
        <v>44</v>
      </c>
      <c r="L370" s="8">
        <v>6</v>
      </c>
      <c r="M370" s="8">
        <v>1128.9100000000001</v>
      </c>
      <c r="N370" s="8">
        <v>20</v>
      </c>
    </row>
    <row r="371" spans="1:14">
      <c r="A371" s="8">
        <v>10497</v>
      </c>
      <c r="B371" s="8">
        <v>1792</v>
      </c>
      <c r="C371" s="23">
        <v>45145</v>
      </c>
      <c r="D371" s="23">
        <v>45151</v>
      </c>
      <c r="E371" s="8" t="s">
        <v>15</v>
      </c>
      <c r="F371" s="8" t="s">
        <v>28</v>
      </c>
      <c r="G371" s="8" t="s">
        <v>23</v>
      </c>
      <c r="H371" s="8" t="s">
        <v>41</v>
      </c>
      <c r="I371" s="8" t="s">
        <v>30</v>
      </c>
      <c r="J371" s="8" t="s">
        <v>38</v>
      </c>
      <c r="K371" s="8" t="s">
        <v>20</v>
      </c>
      <c r="L371" s="8">
        <v>5</v>
      </c>
      <c r="M371" s="8">
        <v>1287.55</v>
      </c>
      <c r="N371" s="8">
        <v>0</v>
      </c>
    </row>
    <row r="372" spans="1:14">
      <c r="A372" s="8">
        <v>10498</v>
      </c>
      <c r="B372" s="8">
        <v>1734</v>
      </c>
      <c r="C372" s="23">
        <v>45017</v>
      </c>
      <c r="D372" s="23">
        <v>45025</v>
      </c>
      <c r="E372" s="8" t="s">
        <v>45</v>
      </c>
      <c r="F372" s="8" t="s">
        <v>15</v>
      </c>
      <c r="G372" s="8" t="s">
        <v>29</v>
      </c>
      <c r="H372" s="8" t="s">
        <v>17</v>
      </c>
      <c r="I372" s="8" t="s">
        <v>25</v>
      </c>
      <c r="J372" s="8" t="s">
        <v>35</v>
      </c>
      <c r="K372" s="8" t="s">
        <v>27</v>
      </c>
      <c r="L372" s="8">
        <v>9</v>
      </c>
      <c r="M372" s="8">
        <v>2190.39</v>
      </c>
      <c r="N372" s="8">
        <v>20</v>
      </c>
    </row>
    <row r="373" spans="1:14">
      <c r="A373" s="8">
        <v>10500</v>
      </c>
      <c r="B373" s="8">
        <v>1569</v>
      </c>
      <c r="C373" s="23">
        <v>44972</v>
      </c>
      <c r="D373" s="23">
        <v>44977</v>
      </c>
      <c r="E373" s="8" t="s">
        <v>14</v>
      </c>
      <c r="F373" s="8" t="s">
        <v>15</v>
      </c>
      <c r="G373" s="8" t="s">
        <v>29</v>
      </c>
      <c r="H373" s="8" t="s">
        <v>41</v>
      </c>
      <c r="I373" s="8" t="s">
        <v>30</v>
      </c>
      <c r="J373" s="8" t="s">
        <v>64</v>
      </c>
      <c r="K373" s="8" t="s">
        <v>32</v>
      </c>
      <c r="L373" s="8">
        <v>1</v>
      </c>
      <c r="M373" s="8">
        <v>2432.17</v>
      </c>
      <c r="N373" s="8">
        <v>20</v>
      </c>
    </row>
  </sheetData>
  <dataValidations count="5">
    <dataValidation type="list" allowBlank="1" showInputMessage="1" showErrorMessage="1" sqref="S2" xr:uid="{86C219C5-F9EF-4004-A9ED-36C8D0065745}">
      <formula1>$U$2:$U$8</formula1>
    </dataValidation>
    <dataValidation type="list" allowBlank="1" showInputMessage="1" showErrorMessage="1" sqref="S12" xr:uid="{88E4BF11-FC3A-4B79-B6FD-77EB82BAA3E0}">
      <formula1>$U$12:$U$16</formula1>
    </dataValidation>
    <dataValidation type="list" allowBlank="1" showInputMessage="1" showErrorMessage="1" sqref="S20" xr:uid="{9061CDDB-C661-4B9E-B7DC-CA3886EDC48D}">
      <formula1>$U$20:$U$24</formula1>
    </dataValidation>
    <dataValidation type="list" allowBlank="1" showInputMessage="1" showErrorMessage="1" sqref="S28" xr:uid="{BF57CD71-AD4B-479D-94F8-5E9E6BE4C137}">
      <formula1>$U$28:$U$33</formula1>
    </dataValidation>
    <dataValidation type="list" allowBlank="1" showInputMessage="1" showErrorMessage="1" sqref="S29" xr:uid="{814E6874-81D1-4253-8A97-3CBB7942F8E7}">
      <formula1>$W$28:$W$51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E_C Data</vt:lpstr>
      <vt:lpstr>Sorting &amp; Filtering</vt:lpstr>
      <vt:lpstr>Tast_Func</vt:lpstr>
      <vt:lpstr>Operator</vt:lpstr>
      <vt:lpstr>Sorting_Filter</vt:lpstr>
      <vt:lpstr>Conditonal format</vt:lpstr>
      <vt:lpstr>'Sorting &amp; Filtering'!Criteria</vt:lpstr>
      <vt:lpstr>Sorting_Filter!Criteria</vt:lpstr>
      <vt:lpstr>'Sorting &amp; Filtering'!Extract</vt:lpstr>
      <vt:lpstr>Sorting_Filter!Extract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Deep Roy</cp:lastModifiedBy>
  <dcterms:created xsi:type="dcterms:W3CDTF">2025-12-08T11:58:47Z</dcterms:created>
  <dcterms:modified xsi:type="dcterms:W3CDTF">2026-05-20T15:34:40Z</dcterms:modified>
</cp:coreProperties>
</file>