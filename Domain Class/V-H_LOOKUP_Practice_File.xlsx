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Anudip_Task\Domain\Class Work\"/>
    </mc:Choice>
  </mc:AlternateContent>
  <xr:revisionPtr revIDLastSave="0" documentId="13_ncr:1_{8305A323-D5AD-425C-BABE-B7A657FA0C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OOKUP Practice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G111" i="1" l="1"/>
  <c r="G106" i="1"/>
  <c r="G101" i="1"/>
  <c r="G96" i="1"/>
  <c r="I87" i="1"/>
  <c r="I82" i="1"/>
  <c r="I77" i="1"/>
  <c r="I72" i="1"/>
  <c r="I67" i="1"/>
  <c r="H58" i="1"/>
  <c r="H53" i="1"/>
  <c r="H48" i="1"/>
  <c r="H43" i="1"/>
  <c r="H38" i="1"/>
  <c r="H29" i="1"/>
  <c r="H24" i="1"/>
  <c r="H19" i="1"/>
  <c r="H14" i="1"/>
  <c r="H9" i="1"/>
  <c r="H4" i="1"/>
</calcChain>
</file>

<file path=xl/sharedStrings.xml><?xml version="1.0" encoding="utf-8"?>
<sst xmlns="http://schemas.openxmlformats.org/spreadsheetml/2006/main" count="165" uniqueCount="98">
  <si>
    <t>Emp ID</t>
  </si>
  <si>
    <t>Name</t>
  </si>
  <si>
    <t>Department</t>
  </si>
  <si>
    <t>Salary</t>
  </si>
  <si>
    <t>City</t>
  </si>
  <si>
    <t>1. Find the Name of employee with Emp ID E104 using VLOOKUP.</t>
  </si>
  <si>
    <t>E101</t>
  </si>
  <si>
    <t>Amit</t>
  </si>
  <si>
    <t>HR</t>
  </si>
  <si>
    <t>Delhi</t>
  </si>
  <si>
    <t>2. Find the Department of employee E103.</t>
  </si>
  <si>
    <t>E102</t>
  </si>
  <si>
    <t>Neha</t>
  </si>
  <si>
    <t>IT</t>
  </si>
  <si>
    <t>Mumbai</t>
  </si>
  <si>
    <t>3. Find the Salary of employee E108.</t>
  </si>
  <si>
    <t>E103</t>
  </si>
  <si>
    <t>Rahul</t>
  </si>
  <si>
    <t>Finance</t>
  </si>
  <si>
    <t>Kolkata</t>
  </si>
  <si>
    <t>4. Find the City of employee E105.</t>
  </si>
  <si>
    <t>E104</t>
  </si>
  <si>
    <t>Priya</t>
  </si>
  <si>
    <t>Bangalore</t>
  </si>
  <si>
    <t>5. If Emp ID is entered in any cell, retrieve the Salary automatically.</t>
  </si>
  <si>
    <t>E105</t>
  </si>
  <si>
    <t>Arjun</t>
  </si>
  <si>
    <t>Marketing</t>
  </si>
  <si>
    <t>Pune</t>
  </si>
  <si>
    <t>6. If Emp ID is entered in any cell, retrieve the Department.</t>
  </si>
  <si>
    <t>E106</t>
  </si>
  <si>
    <t>Riya</t>
  </si>
  <si>
    <t>E107</t>
  </si>
  <si>
    <t>Karan</t>
  </si>
  <si>
    <t>E108</t>
  </si>
  <si>
    <t>Sneha</t>
  </si>
  <si>
    <t>Chennai</t>
  </si>
  <si>
    <t>Student ID</t>
  </si>
  <si>
    <t>Maths</t>
  </si>
  <si>
    <t>Science</t>
  </si>
  <si>
    <t>English</t>
  </si>
  <si>
    <t>1. Find Maths marks of S103.</t>
  </si>
  <si>
    <t>S101</t>
  </si>
  <si>
    <t>Asha</t>
  </si>
  <si>
    <t>2. Find Science marks of S102.</t>
  </si>
  <si>
    <t>S102</t>
  </si>
  <si>
    <t>Ravi</t>
  </si>
  <si>
    <t>3. Find English marks of S105.</t>
  </si>
  <si>
    <t>S103</t>
  </si>
  <si>
    <t>Meena</t>
  </si>
  <si>
    <t>4. If Student ID is entered in any cell, return the Name.</t>
  </si>
  <si>
    <t>S104</t>
  </si>
  <si>
    <t>5. Retrieve Science marks dynamically using Student ID in any cell.</t>
  </si>
  <si>
    <t>S105</t>
  </si>
  <si>
    <t>Kiran</t>
  </si>
  <si>
    <t>Emp Name</t>
  </si>
  <si>
    <t>Emp Id</t>
  </si>
  <si>
    <t>Depertment</t>
  </si>
  <si>
    <t>Product ID</t>
  </si>
  <si>
    <t>P101</t>
  </si>
  <si>
    <t>P102</t>
  </si>
  <si>
    <t>P103</t>
  </si>
  <si>
    <t>P104</t>
  </si>
  <si>
    <t>P105</t>
  </si>
  <si>
    <t>Product Name</t>
  </si>
  <si>
    <t>Price</t>
  </si>
  <si>
    <t>Stock</t>
  </si>
  <si>
    <t>Laptop</t>
  </si>
  <si>
    <t>Mouse</t>
  </si>
  <si>
    <t>Keyboard</t>
  </si>
  <si>
    <t>Monitor</t>
  </si>
  <si>
    <t>Printer</t>
  </si>
  <si>
    <t>ID</t>
  </si>
  <si>
    <t>Course</t>
  </si>
  <si>
    <t>Fees</t>
  </si>
  <si>
    <t>C101</t>
  </si>
  <si>
    <t>C102</t>
  </si>
  <si>
    <t>C103</t>
  </si>
  <si>
    <t>C104</t>
  </si>
  <si>
    <t>C105</t>
  </si>
  <si>
    <t>Rohan</t>
  </si>
  <si>
    <t>Ananya</t>
  </si>
  <si>
    <t>Vikram</t>
  </si>
  <si>
    <t>Aman</t>
  </si>
  <si>
    <t>Excell</t>
  </si>
  <si>
    <t>Power BI</t>
  </si>
  <si>
    <t>SQL</t>
  </si>
  <si>
    <t>Python</t>
  </si>
  <si>
    <t>Tableau</t>
  </si>
  <si>
    <t>1. Find The Price of Product P103 using HLOOKUP</t>
  </si>
  <si>
    <t>2. Find The Stock of P104</t>
  </si>
  <si>
    <t>3. Retrieve Product Name of P101</t>
  </si>
  <si>
    <t>4. If the Product ID is Entered in any Cell, Return the Price</t>
  </si>
  <si>
    <t>5. If the Product ID is Entered in any Cell, Return the Stock</t>
  </si>
  <si>
    <t>1. Retrive Course name for C103</t>
  </si>
  <si>
    <t>2. Retrieve Fees for C104</t>
  </si>
  <si>
    <t>3. If the Course ID Entered in any Cell, Display Name</t>
  </si>
  <si>
    <t>4. If Course ID is Entered in any cell, Display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</si>
</sst>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CFED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2" xfId="0" applyFont="1" applyFill="1" applyBorder="1" applyAlignment="1">
      <alignment horizontal="center"/>
    </xf>
    <xf numFmtId="0" fontId="2" fillId="0" borderId="2" xfId="0" applyFont="1" applyBorder="1"/>
    <xf numFmtId="0" fontId="0" fillId="3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2" fillId="5" borderId="2" xfId="0" applyFont="1" applyFill="1" applyBorder="1"/>
    <xf numFmtId="0" fontId="0" fillId="6" borderId="0" xfId="0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7" borderId="3" xfId="0" applyFont="1" applyFill="1" applyBorder="1" applyAlignment="1">
      <alignment horizontal="left"/>
    </xf>
    <xf numFmtId="0" fontId="0" fillId="7" borderId="0" xfId="0" applyFont="1" applyFill="1" applyBorder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CCFF"/>
      <color rgb="FF9CFE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workbookViewId="0">
      <selection activeCell="L102" sqref="L102"/>
    </sheetView>
  </sheetViews>
  <sheetFormatPr defaultRowHeight="14.4" x14ac:dyDescent="0.3"/>
  <cols>
    <col min="1" max="2" width="14" customWidth="1"/>
    <col min="3" max="3" width="16" customWidth="1"/>
    <col min="4" max="4" width="12" customWidth="1"/>
    <col min="5" max="5" width="14" customWidth="1"/>
    <col min="7" max="7" width="9.77734375" bestFit="1" customWidth="1"/>
    <col min="8" max="8" width="10.77734375" bestFit="1" customWidth="1"/>
    <col min="9" max="9" width="12.6640625" bestFit="1" customWidth="1"/>
    <col min="10" max="10" width="11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7" t="s">
        <v>5</v>
      </c>
      <c r="H1" s="7"/>
      <c r="I1" s="7"/>
      <c r="J1" s="7"/>
      <c r="K1" s="7"/>
      <c r="L1" s="7"/>
    </row>
    <row r="2" spans="1:12" x14ac:dyDescent="0.3">
      <c r="A2" s="2" t="s">
        <v>6</v>
      </c>
      <c r="B2" s="2" t="s">
        <v>7</v>
      </c>
      <c r="C2" s="2" t="s">
        <v>8</v>
      </c>
      <c r="D2" s="2">
        <v>35000</v>
      </c>
      <c r="E2" s="2" t="s">
        <v>9</v>
      </c>
    </row>
    <row r="3" spans="1:12" x14ac:dyDescent="0.3">
      <c r="A3" s="2" t="s">
        <v>11</v>
      </c>
      <c r="B3" s="2" t="s">
        <v>12</v>
      </c>
      <c r="C3" s="2" t="s">
        <v>13</v>
      </c>
      <c r="D3" s="2">
        <v>50000</v>
      </c>
      <c r="E3" s="2" t="s">
        <v>14</v>
      </c>
      <c r="G3" s="4" t="s">
        <v>0</v>
      </c>
      <c r="H3" s="4" t="s">
        <v>55</v>
      </c>
    </row>
    <row r="4" spans="1:12" x14ac:dyDescent="0.3">
      <c r="A4" s="2" t="s">
        <v>16</v>
      </c>
      <c r="B4" s="2" t="s">
        <v>17</v>
      </c>
      <c r="C4" s="2" t="s">
        <v>18</v>
      </c>
      <c r="D4" s="2">
        <v>45000</v>
      </c>
      <c r="E4" s="2" t="s">
        <v>19</v>
      </c>
      <c r="G4" s="3" t="s">
        <v>21</v>
      </c>
      <c r="H4" s="3" t="str">
        <f>VLOOKUP(G4,A1:B9,2,0)</f>
        <v>Priya</v>
      </c>
    </row>
    <row r="5" spans="1:12" x14ac:dyDescent="0.3">
      <c r="A5" s="2" t="s">
        <v>21</v>
      </c>
      <c r="B5" s="2" t="s">
        <v>22</v>
      </c>
      <c r="C5" s="2" t="s">
        <v>13</v>
      </c>
      <c r="D5" s="2">
        <v>52000</v>
      </c>
      <c r="E5" s="2" t="s">
        <v>23</v>
      </c>
    </row>
    <row r="6" spans="1:12" x14ac:dyDescent="0.3">
      <c r="A6" s="2" t="s">
        <v>25</v>
      </c>
      <c r="B6" s="2" t="s">
        <v>26</v>
      </c>
      <c r="C6" s="2" t="s">
        <v>27</v>
      </c>
      <c r="D6" s="2">
        <v>40000</v>
      </c>
      <c r="E6" s="2" t="s">
        <v>28</v>
      </c>
      <c r="G6" s="7" t="s">
        <v>10</v>
      </c>
      <c r="H6" s="7"/>
      <c r="I6" s="7"/>
      <c r="J6" s="7"/>
    </row>
    <row r="7" spans="1:12" x14ac:dyDescent="0.3">
      <c r="A7" s="2" t="s">
        <v>30</v>
      </c>
      <c r="B7" s="2" t="s">
        <v>31</v>
      </c>
      <c r="C7" s="2" t="s">
        <v>8</v>
      </c>
      <c r="D7" s="2">
        <v>36000</v>
      </c>
      <c r="E7" s="2" t="s">
        <v>9</v>
      </c>
    </row>
    <row r="8" spans="1:12" x14ac:dyDescent="0.3">
      <c r="A8" s="2" t="s">
        <v>32</v>
      </c>
      <c r="B8" s="2" t="s">
        <v>33</v>
      </c>
      <c r="C8" s="2" t="s">
        <v>18</v>
      </c>
      <c r="D8" s="2">
        <v>47000</v>
      </c>
      <c r="E8" s="2" t="s">
        <v>14</v>
      </c>
      <c r="G8" s="4" t="s">
        <v>0</v>
      </c>
      <c r="H8" s="4" t="s">
        <v>2</v>
      </c>
    </row>
    <row r="9" spans="1:12" x14ac:dyDescent="0.3">
      <c r="A9" s="2" t="s">
        <v>34</v>
      </c>
      <c r="B9" s="2" t="s">
        <v>35</v>
      </c>
      <c r="C9" s="2" t="s">
        <v>27</v>
      </c>
      <c r="D9" s="2">
        <v>42000</v>
      </c>
      <c r="E9" s="2" t="s">
        <v>36</v>
      </c>
      <c r="G9" s="3" t="s">
        <v>16</v>
      </c>
      <c r="H9" s="3" t="str">
        <f>VLOOKUP(G9,A1:C9,3,0)</f>
        <v>Finance</v>
      </c>
    </row>
    <row r="11" spans="1:12" x14ac:dyDescent="0.3">
      <c r="G11" s="7" t="s">
        <v>15</v>
      </c>
      <c r="H11" s="7"/>
      <c r="I11" s="7"/>
      <c r="J11" s="7"/>
    </row>
    <row r="13" spans="1:12" x14ac:dyDescent="0.3">
      <c r="G13" s="5" t="s">
        <v>0</v>
      </c>
      <c r="H13" s="5" t="s">
        <v>3</v>
      </c>
    </row>
    <row r="14" spans="1:12" x14ac:dyDescent="0.3">
      <c r="G14" s="3" t="s">
        <v>16</v>
      </c>
      <c r="H14" s="3">
        <f>VLOOKUP(G14,A1:E9,4,0)</f>
        <v>45000</v>
      </c>
    </row>
    <row r="16" spans="1:12" x14ac:dyDescent="0.3">
      <c r="G16" s="6" t="s">
        <v>20</v>
      </c>
      <c r="H16" s="6"/>
      <c r="I16" s="6"/>
    </row>
    <row r="18" spans="7:12" x14ac:dyDescent="0.3">
      <c r="G18" s="5" t="s">
        <v>56</v>
      </c>
      <c r="H18" s="5" t="s">
        <v>4</v>
      </c>
    </row>
    <row r="19" spans="7:12" x14ac:dyDescent="0.3">
      <c r="G19" s="3" t="s">
        <v>25</v>
      </c>
      <c r="H19" s="3" t="str">
        <f>VLOOKUP(G19,A1:E9,5,0)</f>
        <v>Pune</v>
      </c>
    </row>
    <row r="21" spans="7:12" x14ac:dyDescent="0.3">
      <c r="G21" s="7" t="s">
        <v>24</v>
      </c>
      <c r="H21" s="7"/>
      <c r="I21" s="7"/>
      <c r="J21" s="7"/>
      <c r="K21" s="7"/>
      <c r="L21" s="7"/>
    </row>
    <row r="23" spans="7:12" x14ac:dyDescent="0.3">
      <c r="G23" s="5" t="s">
        <v>0</v>
      </c>
      <c r="H23" s="5" t="s">
        <v>3</v>
      </c>
    </row>
    <row r="24" spans="7:12" x14ac:dyDescent="0.3">
      <c r="G24" s="3" t="s">
        <v>25</v>
      </c>
      <c r="H24" s="3">
        <f>VLOOKUP(G24,A1:D9,4,0)</f>
        <v>40000</v>
      </c>
    </row>
    <row r="26" spans="7:12" x14ac:dyDescent="0.3">
      <c r="G26" s="7" t="s">
        <v>29</v>
      </c>
      <c r="H26" s="7"/>
      <c r="I26" s="7"/>
      <c r="J26" s="7"/>
      <c r="K26" s="7"/>
    </row>
    <row r="28" spans="7:12" x14ac:dyDescent="0.3">
      <c r="G28" s="5" t="s">
        <v>0</v>
      </c>
      <c r="H28" s="5" t="s">
        <v>57</v>
      </c>
    </row>
    <row r="29" spans="7:12" x14ac:dyDescent="0.3">
      <c r="G29" s="3" t="s">
        <v>34</v>
      </c>
      <c r="H29" s="3" t="str">
        <f>VLOOKUP(G29,A1:E9,3,0)</f>
        <v>Marketing</v>
      </c>
    </row>
    <row r="35" spans="1:9" x14ac:dyDescent="0.3">
      <c r="A35" s="1" t="s">
        <v>37</v>
      </c>
      <c r="B35" s="1" t="s">
        <v>1</v>
      </c>
      <c r="C35" s="1" t="s">
        <v>38</v>
      </c>
      <c r="D35" s="1" t="s">
        <v>39</v>
      </c>
      <c r="E35" s="1" t="s">
        <v>40</v>
      </c>
      <c r="G35" s="8" t="s">
        <v>41</v>
      </c>
      <c r="H35" s="8"/>
      <c r="I35" s="8"/>
    </row>
    <row r="36" spans="1:9" x14ac:dyDescent="0.3">
      <c r="A36" s="2" t="s">
        <v>42</v>
      </c>
      <c r="B36" s="2" t="s">
        <v>43</v>
      </c>
      <c r="C36" s="2">
        <v>78</v>
      </c>
      <c r="D36" s="2">
        <v>82</v>
      </c>
      <c r="E36" s="2">
        <v>74</v>
      </c>
    </row>
    <row r="37" spans="1:9" x14ac:dyDescent="0.3">
      <c r="A37" s="2" t="s">
        <v>45</v>
      </c>
      <c r="B37" s="2" t="s">
        <v>46</v>
      </c>
      <c r="C37" s="2">
        <v>65</v>
      </c>
      <c r="D37" s="2">
        <v>70</v>
      </c>
      <c r="E37" s="2">
        <v>68</v>
      </c>
      <c r="G37" s="5" t="s">
        <v>37</v>
      </c>
      <c r="H37" s="5" t="s">
        <v>38</v>
      </c>
    </row>
    <row r="38" spans="1:9" x14ac:dyDescent="0.3">
      <c r="A38" s="2" t="s">
        <v>48</v>
      </c>
      <c r="B38" s="2" t="s">
        <v>49</v>
      </c>
      <c r="C38" s="2">
        <v>88</v>
      </c>
      <c r="D38" s="2">
        <v>91</v>
      </c>
      <c r="E38" s="2">
        <v>85</v>
      </c>
      <c r="G38" s="3" t="s">
        <v>45</v>
      </c>
      <c r="H38" s="3">
        <f>VLOOKUP(G38,A35:D40,3,0)</f>
        <v>65</v>
      </c>
    </row>
    <row r="39" spans="1:9" x14ac:dyDescent="0.3">
      <c r="A39" s="2" t="s">
        <v>51</v>
      </c>
      <c r="B39" s="2" t="s">
        <v>26</v>
      </c>
      <c r="C39" s="2">
        <v>72</v>
      </c>
      <c r="D39" s="2">
        <v>75</v>
      </c>
      <c r="E39" s="2">
        <v>70</v>
      </c>
    </row>
    <row r="40" spans="1:9" x14ac:dyDescent="0.3">
      <c r="A40" s="2" t="s">
        <v>53</v>
      </c>
      <c r="B40" s="2" t="s">
        <v>54</v>
      </c>
      <c r="C40" s="2">
        <v>90</v>
      </c>
      <c r="D40" s="2">
        <v>93</v>
      </c>
      <c r="E40" s="2">
        <v>89</v>
      </c>
      <c r="G40" s="8" t="s">
        <v>44</v>
      </c>
      <c r="H40" s="8"/>
      <c r="I40" s="8"/>
    </row>
    <row r="42" spans="1:9" x14ac:dyDescent="0.3">
      <c r="G42" s="5" t="s">
        <v>37</v>
      </c>
      <c r="H42" s="5" t="s">
        <v>39</v>
      </c>
    </row>
    <row r="43" spans="1:9" x14ac:dyDescent="0.3">
      <c r="G43" s="3" t="s">
        <v>45</v>
      </c>
      <c r="H43" s="3">
        <f>VLOOKUP(G43,A35:E40,4,0)</f>
        <v>70</v>
      </c>
    </row>
    <row r="45" spans="1:9" x14ac:dyDescent="0.3">
      <c r="G45" s="9" t="s">
        <v>47</v>
      </c>
      <c r="H45" s="9"/>
      <c r="I45" s="9"/>
    </row>
    <row r="47" spans="1:9" x14ac:dyDescent="0.3">
      <c r="G47" s="5" t="s">
        <v>37</v>
      </c>
      <c r="H47" s="5" t="s">
        <v>40</v>
      </c>
    </row>
    <row r="48" spans="1:9" x14ac:dyDescent="0.3">
      <c r="G48" s="3" t="s">
        <v>53</v>
      </c>
      <c r="H48" s="3">
        <f>VLOOKUP(G48,A35:E40,5,0)</f>
        <v>89</v>
      </c>
    </row>
    <row r="50" spans="1:12" x14ac:dyDescent="0.3">
      <c r="G50" s="8" t="s">
        <v>50</v>
      </c>
      <c r="H50" s="8"/>
      <c r="I50" s="8"/>
      <c r="J50" s="8"/>
      <c r="K50" s="8"/>
    </row>
    <row r="52" spans="1:12" x14ac:dyDescent="0.3">
      <c r="G52" s="5" t="s">
        <v>37</v>
      </c>
      <c r="H52" s="5" t="s">
        <v>1</v>
      </c>
    </row>
    <row r="53" spans="1:12" x14ac:dyDescent="0.3">
      <c r="G53" s="3" t="s">
        <v>48</v>
      </c>
      <c r="H53" s="3" t="str">
        <f>VLOOKUP(G53,A35:E40,2,0)</f>
        <v>Meena</v>
      </c>
    </row>
    <row r="55" spans="1:12" x14ac:dyDescent="0.3">
      <c r="G55" s="9" t="s">
        <v>52</v>
      </c>
      <c r="H55" s="9"/>
      <c r="I55" s="9"/>
      <c r="J55" s="9"/>
      <c r="K55" s="9"/>
      <c r="L55" s="9"/>
    </row>
    <row r="57" spans="1:12" x14ac:dyDescent="0.3">
      <c r="G57" s="5" t="s">
        <v>37</v>
      </c>
      <c r="H57" s="5" t="s">
        <v>39</v>
      </c>
    </row>
    <row r="58" spans="1:12" x14ac:dyDescent="0.3">
      <c r="G58" s="3" t="s">
        <v>45</v>
      </c>
      <c r="H58" s="3">
        <f>VLOOKUP(G58,A35:E40,4,0)</f>
        <v>70</v>
      </c>
    </row>
    <row r="64" spans="1:12" x14ac:dyDescent="0.3">
      <c r="A64" s="10" t="s">
        <v>58</v>
      </c>
      <c r="B64" s="3" t="s">
        <v>59</v>
      </c>
      <c r="C64" s="3" t="s">
        <v>60</v>
      </c>
      <c r="D64" s="3" t="s">
        <v>61</v>
      </c>
      <c r="E64" s="3" t="s">
        <v>62</v>
      </c>
      <c r="F64" s="3" t="s">
        <v>63</v>
      </c>
      <c r="H64" s="11" t="s">
        <v>89</v>
      </c>
      <c r="I64" s="11"/>
      <c r="J64" s="11"/>
      <c r="K64" s="11"/>
      <c r="L64" s="11"/>
    </row>
    <row r="65" spans="1:12" x14ac:dyDescent="0.3">
      <c r="A65" s="10" t="s">
        <v>64</v>
      </c>
      <c r="B65" s="3" t="s">
        <v>67</v>
      </c>
      <c r="C65" s="3" t="s">
        <v>68</v>
      </c>
      <c r="D65" s="3" t="s">
        <v>69</v>
      </c>
      <c r="E65" s="3" t="s">
        <v>70</v>
      </c>
      <c r="F65" s="3" t="s">
        <v>71</v>
      </c>
    </row>
    <row r="66" spans="1:12" x14ac:dyDescent="0.3">
      <c r="A66" s="10" t="s">
        <v>65</v>
      </c>
      <c r="B66" s="3">
        <v>55000</v>
      </c>
      <c r="C66" s="3">
        <v>500</v>
      </c>
      <c r="D66" s="3">
        <v>1200</v>
      </c>
      <c r="E66" s="3">
        <v>9000</v>
      </c>
      <c r="F66" s="3">
        <v>7000</v>
      </c>
      <c r="H66" s="5" t="s">
        <v>58</v>
      </c>
      <c r="I66" s="5" t="s">
        <v>65</v>
      </c>
    </row>
    <row r="67" spans="1:12" x14ac:dyDescent="0.3">
      <c r="A67" s="10" t="s">
        <v>66</v>
      </c>
      <c r="B67" s="3">
        <v>25</v>
      </c>
      <c r="C67" s="3">
        <v>150</v>
      </c>
      <c r="D67" s="3">
        <v>80</v>
      </c>
      <c r="E67" s="3">
        <v>40</v>
      </c>
      <c r="F67" s="3">
        <v>35</v>
      </c>
      <c r="H67" s="3" t="s">
        <v>61</v>
      </c>
      <c r="I67" s="3">
        <f>HLOOKUP(H67,A64:F67,3,0)</f>
        <v>1200</v>
      </c>
    </row>
    <row r="69" spans="1:12" x14ac:dyDescent="0.3">
      <c r="H69" s="11" t="s">
        <v>90</v>
      </c>
      <c r="I69" s="11"/>
      <c r="J69" s="11"/>
    </row>
    <row r="71" spans="1:12" x14ac:dyDescent="0.3">
      <c r="H71" s="5" t="s">
        <v>58</v>
      </c>
      <c r="I71" s="5" t="s">
        <v>66</v>
      </c>
    </row>
    <row r="72" spans="1:12" x14ac:dyDescent="0.3">
      <c r="H72" s="3" t="s">
        <v>62</v>
      </c>
      <c r="I72" s="3">
        <f>HLOOKUP(H72,A64:F67,4,0)</f>
        <v>40</v>
      </c>
    </row>
    <row r="74" spans="1:12" x14ac:dyDescent="0.3">
      <c r="H74" s="11" t="s">
        <v>91</v>
      </c>
      <c r="I74" s="11"/>
      <c r="J74" s="11"/>
    </row>
    <row r="76" spans="1:12" x14ac:dyDescent="0.3">
      <c r="H76" s="5" t="s">
        <v>58</v>
      </c>
      <c r="I76" s="5" t="s">
        <v>64</v>
      </c>
    </row>
    <row r="77" spans="1:12" x14ac:dyDescent="0.3">
      <c r="H77" s="3" t="s">
        <v>59</v>
      </c>
      <c r="I77" s="3" t="str">
        <f>HLOOKUP(H77,A64:F67,2,0)</f>
        <v>Laptop</v>
      </c>
    </row>
    <row r="79" spans="1:12" x14ac:dyDescent="0.3">
      <c r="H79" s="12" t="s">
        <v>92</v>
      </c>
      <c r="I79" s="12"/>
      <c r="J79" s="12"/>
      <c r="K79" s="12"/>
      <c r="L79" s="12"/>
    </row>
    <row r="81" spans="1:12" x14ac:dyDescent="0.3">
      <c r="H81" s="5" t="s">
        <v>58</v>
      </c>
      <c r="I81" s="5" t="s">
        <v>65</v>
      </c>
    </row>
    <row r="82" spans="1:12" x14ac:dyDescent="0.3">
      <c r="H82" s="3" t="s">
        <v>60</v>
      </c>
      <c r="I82" s="3">
        <f>HLOOKUP(H82,A64:F67,3,0)</f>
        <v>500</v>
      </c>
    </row>
    <row r="84" spans="1:12" x14ac:dyDescent="0.3">
      <c r="H84" s="11" t="s">
        <v>93</v>
      </c>
      <c r="I84" s="11"/>
      <c r="J84" s="11"/>
      <c r="K84" s="11"/>
      <c r="L84" s="11"/>
    </row>
    <row r="86" spans="1:12" x14ac:dyDescent="0.3">
      <c r="H86" s="5" t="s">
        <v>58</v>
      </c>
      <c r="I86" s="5" t="s">
        <v>66</v>
      </c>
    </row>
    <row r="87" spans="1:12" x14ac:dyDescent="0.3">
      <c r="H87" s="3" t="s">
        <v>60</v>
      </c>
      <c r="I87" s="3">
        <f>HLOOKUP(H87,A64:F67,4,0)</f>
        <v>150</v>
      </c>
    </row>
    <row r="93" spans="1:12" x14ac:dyDescent="0.3">
      <c r="A93" s="10" t="s">
        <v>72</v>
      </c>
      <c r="B93" s="10" t="s">
        <v>1</v>
      </c>
      <c r="C93" s="10" t="s">
        <v>73</v>
      </c>
      <c r="D93" s="10" t="s">
        <v>74</v>
      </c>
      <c r="F93" s="13" t="s">
        <v>94</v>
      </c>
      <c r="G93" s="14"/>
      <c r="H93" s="14"/>
    </row>
    <row r="94" spans="1:12" x14ac:dyDescent="0.3">
      <c r="A94" s="3" t="s">
        <v>75</v>
      </c>
      <c r="B94" s="3" t="s">
        <v>80</v>
      </c>
      <c r="C94" s="3" t="s">
        <v>84</v>
      </c>
      <c r="D94" s="3">
        <v>3000</v>
      </c>
    </row>
    <row r="95" spans="1:12" x14ac:dyDescent="0.3">
      <c r="A95" s="3" t="s">
        <v>76</v>
      </c>
      <c r="B95" s="3" t="s">
        <v>81</v>
      </c>
      <c r="C95" s="3" t="s">
        <v>85</v>
      </c>
      <c r="D95" s="3">
        <v>5000</v>
      </c>
      <c r="F95" s="5" t="s">
        <v>72</v>
      </c>
      <c r="G95" s="5" t="s">
        <v>73</v>
      </c>
    </row>
    <row r="96" spans="1:12" x14ac:dyDescent="0.3">
      <c r="A96" s="3" t="s">
        <v>77</v>
      </c>
      <c r="B96" s="3" t="s">
        <v>82</v>
      </c>
      <c r="C96" s="3" t="s">
        <v>86</v>
      </c>
      <c r="D96" s="3">
        <v>4000</v>
      </c>
      <c r="F96" s="3" t="s">
        <v>77</v>
      </c>
      <c r="G96" s="3" t="str">
        <f>VLOOKUP(F96,A93:C98,3,0)</f>
        <v>SQL</v>
      </c>
    </row>
    <row r="97" spans="1:10" x14ac:dyDescent="0.3">
      <c r="A97" s="3" t="s">
        <v>78</v>
      </c>
      <c r="B97" s="3" t="s">
        <v>12</v>
      </c>
      <c r="C97" s="3" t="s">
        <v>87</v>
      </c>
      <c r="D97" s="3">
        <v>6000</v>
      </c>
    </row>
    <row r="98" spans="1:10" x14ac:dyDescent="0.3">
      <c r="A98" s="3" t="s">
        <v>79</v>
      </c>
      <c r="B98" s="3" t="s">
        <v>83</v>
      </c>
      <c r="C98" s="3" t="s">
        <v>88</v>
      </c>
      <c r="D98" s="3">
        <v>4500</v>
      </c>
      <c r="F98" s="15" t="s">
        <v>95</v>
      </c>
      <c r="G98" s="15"/>
      <c r="H98" s="15"/>
    </row>
    <row r="100" spans="1:10" x14ac:dyDescent="0.3">
      <c r="F100" s="5" t="s">
        <v>72</v>
      </c>
      <c r="G100" s="5" t="s">
        <v>74</v>
      </c>
    </row>
    <row r="101" spans="1:10" x14ac:dyDescent="0.3">
      <c r="F101" s="3" t="s">
        <v>78</v>
      </c>
      <c r="G101" s="3">
        <f>VLOOKUP(F101,A93:D98,4,0)</f>
        <v>6000</v>
      </c>
    </row>
    <row r="103" spans="1:10" x14ac:dyDescent="0.3">
      <c r="F103" s="15" t="s">
        <v>96</v>
      </c>
      <c r="G103" s="15"/>
      <c r="H103" s="15"/>
      <c r="I103" s="15"/>
      <c r="J103" s="15"/>
    </row>
    <row r="105" spans="1:10" x14ac:dyDescent="0.3">
      <c r="F105" s="5" t="s">
        <v>72</v>
      </c>
      <c r="G105" s="5" t="s">
        <v>1</v>
      </c>
    </row>
    <row r="106" spans="1:10" x14ac:dyDescent="0.3">
      <c r="F106" s="3" t="s">
        <v>75</v>
      </c>
      <c r="G106" s="3" t="str">
        <f>VLOOKUP(F106,A93:D98,2,0)</f>
        <v>Rohan</v>
      </c>
    </row>
    <row r="108" spans="1:10" x14ac:dyDescent="0.3">
      <c r="F108" s="15" t="s">
        <v>97</v>
      </c>
      <c r="G108" s="15"/>
      <c r="H108" s="15"/>
      <c r="I108" s="15"/>
    </row>
    <row r="110" spans="1:10" x14ac:dyDescent="0.3">
      <c r="F110" s="5" t="s">
        <v>72</v>
      </c>
      <c r="G110" s="5" t="s">
        <v>74</v>
      </c>
    </row>
    <row r="111" spans="1:10" x14ac:dyDescent="0.3">
      <c r="F111" s="3" t="s">
        <v>76</v>
      </c>
      <c r="G111" s="3">
        <f>VLOOKUP(F111,A93:D98,4,0)</f>
        <v>5000</v>
      </c>
    </row>
  </sheetData>
  <mergeCells count="20">
    <mergeCell ref="F103:J103"/>
    <mergeCell ref="F108:I108"/>
    <mergeCell ref="H69:J69"/>
    <mergeCell ref="H74:J74"/>
    <mergeCell ref="H79:L79"/>
    <mergeCell ref="H84:L84"/>
    <mergeCell ref="F93:H93"/>
    <mergeCell ref="F98:H98"/>
    <mergeCell ref="G35:I35"/>
    <mergeCell ref="G40:I40"/>
    <mergeCell ref="G45:I45"/>
    <mergeCell ref="G50:K50"/>
    <mergeCell ref="G55:L55"/>
    <mergeCell ref="H64:L64"/>
    <mergeCell ref="G1:L1"/>
    <mergeCell ref="G6:J6"/>
    <mergeCell ref="G11:J11"/>
    <mergeCell ref="G16:I16"/>
    <mergeCell ref="G21:L21"/>
    <mergeCell ref="G26:K26"/>
  </mergeCells>
  <phoneticPr fontId="3" type="noConversion"/>
  <dataValidations count="4">
    <dataValidation type="list" allowBlank="1" showInputMessage="1" showErrorMessage="1" sqref="G24 G29" xr:uid="{6392F944-237C-4AD8-ADF2-BA5E944FF787}">
      <formula1>$A$2:$A$9</formula1>
    </dataValidation>
    <dataValidation type="list" allowBlank="1" showInputMessage="1" showErrorMessage="1" sqref="G53 G58" xr:uid="{7C03ABDD-959D-4752-B386-B6B54B01A932}">
      <formula1>$A$36:$A$40</formula1>
    </dataValidation>
    <dataValidation type="list" allowBlank="1" showInputMessage="1" showErrorMessage="1" sqref="H82 H87" xr:uid="{3A5514A4-5C33-4B42-AAB0-8B83848FA7DD}">
      <formula1>$B$64:$F$64</formula1>
    </dataValidation>
    <dataValidation type="list" allowBlank="1" showInputMessage="1" showErrorMessage="1" sqref="F106 F111" xr:uid="{9845A4D1-C2F7-4DA3-9B21-646A5E93EDB0}">
      <formula1>$A$94:$A$98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480C-89FB-4713-90C5-4E3D18FDAA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 Practice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 Roy</cp:lastModifiedBy>
  <dcterms:created xsi:type="dcterms:W3CDTF">2026-05-22T05:42:26Z</dcterms:created>
  <dcterms:modified xsi:type="dcterms:W3CDTF">2026-05-22T07:33:58Z</dcterms:modified>
</cp:coreProperties>
</file>