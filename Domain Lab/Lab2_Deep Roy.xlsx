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OneDrive\Desktop\Anudip_Task\Domain\Lab work\"/>
    </mc:Choice>
  </mc:AlternateContent>
  <xr:revisionPtr revIDLastSave="0" documentId="13_ncr:1_{DD02C9EF-596C-4EB1-BCF4-FEEB6E51F2BD}" xr6:coauthVersionLast="47" xr6:coauthVersionMax="47" xr10:uidLastSave="{00000000-0000-0000-0000-000000000000}"/>
  <bookViews>
    <workbookView xWindow="-108" yWindow="-108" windowWidth="23256" windowHeight="12456" xr2:uid="{C9EF29F1-B9E4-4A32-8166-93A212DC99C4}"/>
  </bookViews>
  <sheets>
    <sheet name="Lab_2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3" i="1" l="1"/>
  <c r="L4" i="1"/>
  <c r="L5" i="1"/>
  <c r="L6" i="1"/>
  <c r="L7" i="1"/>
  <c r="L2" i="1"/>
  <c r="M3" i="1"/>
  <c r="M4" i="1"/>
  <c r="M5" i="1"/>
  <c r="M6" i="1"/>
  <c r="M7" i="1"/>
  <c r="M2" i="1"/>
  <c r="K3" i="1"/>
  <c r="K4" i="1"/>
  <c r="K5" i="1"/>
  <c r="K6" i="1"/>
  <c r="K7" i="1"/>
  <c r="K2" i="1"/>
  <c r="J3" i="1"/>
  <c r="J4" i="1"/>
  <c r="J5" i="1"/>
  <c r="J6" i="1"/>
  <c r="J7" i="1"/>
  <c r="J2" i="1"/>
  <c r="I3" i="1"/>
  <c r="I4" i="1"/>
  <c r="I5" i="1"/>
  <c r="I6" i="1"/>
  <c r="I7" i="1"/>
  <c r="I2" i="1"/>
  <c r="H2" i="1"/>
  <c r="H3" i="1"/>
  <c r="H4" i="1"/>
  <c r="H5" i="1"/>
  <c r="H6" i="1"/>
  <c r="H7" i="1"/>
  <c r="G3" i="1"/>
  <c r="G4" i="1"/>
  <c r="G5" i="1"/>
  <c r="G6" i="1"/>
  <c r="G7" i="1"/>
  <c r="G2" i="1"/>
  <c r="F3" i="1"/>
  <c r="F4" i="1"/>
  <c r="F5" i="1"/>
  <c r="F6" i="1"/>
  <c r="F7" i="1"/>
  <c r="F2" i="1"/>
</calcChain>
</file>

<file path=xl/sharedStrings.xml><?xml version="1.0" encoding="utf-8"?>
<sst xmlns="http://schemas.openxmlformats.org/spreadsheetml/2006/main" count="34" uniqueCount="32">
  <si>
    <t>ProductID</t>
  </si>
  <si>
    <t>Product</t>
  </si>
  <si>
    <t>Sales</t>
  </si>
  <si>
    <t>Target</t>
  </si>
  <si>
    <t>Region</t>
  </si>
  <si>
    <t>Product A</t>
  </si>
  <si>
    <t>North</t>
  </si>
  <si>
    <t>Product B</t>
  </si>
  <si>
    <t>South</t>
  </si>
  <si>
    <t>Product C</t>
  </si>
  <si>
    <t>East</t>
  </si>
  <si>
    <t>Product D</t>
  </si>
  <si>
    <t>West</t>
  </si>
  <si>
    <t>Product E</t>
  </si>
  <si>
    <t>Product F</t>
  </si>
  <si>
    <t>1. Sale Targate</t>
  </si>
  <si>
    <t>2. Regional Bonus</t>
  </si>
  <si>
    <t>3. Commission rate</t>
  </si>
  <si>
    <t>4. Bonus</t>
  </si>
  <si>
    <t>5. Sales Performance</t>
  </si>
  <si>
    <t>6. Price Tier</t>
  </si>
  <si>
    <t>7. Yearly Bonus</t>
  </si>
  <si>
    <t>8. High Performer</t>
  </si>
  <si>
    <t>Use the IF function to evaluate whether each product met its sales target.</t>
  </si>
  <si>
    <t>Use the IF function to determine if a product is eligible for a regional bonus. Products in the "North" region with sales over 200 are eligible.</t>
  </si>
  <si>
    <t>Use nested IF functions to assign a commission rate based on sales. Sales &gt;= 200 get a 10% commission, sales &gt;= 150 get a 7% commission, and others get a 5% commission.</t>
  </si>
  <si>
    <t>Use the IF function to calculate a bonus amount. If sales met or exceeded the target, the bonus is 10% of the sales; otherwise, it's 5%.</t>
  </si>
  <si>
    <t>Use the IF function to categorize sales performance as "Excellent" (&gt;=200), "Good" (&gt;=150), or "Needs Improvement" (&lt;150).</t>
  </si>
  <si>
    <t>Use the IF function to assign a price tier based on the sales value. "High" for sales &gt; 200, "Medium" for sales between 100 and 200, and "Low" for sales &lt; 100.</t>
  </si>
  <si>
    <t>Use the IF function to calculate the year-end bonus. If sales &gt;= 150 and region is "North", the bonus is $500, otherwise, it's $300.</t>
  </si>
  <si>
    <t>Use the IF function to mark high performers. A product is a high performer if its sales are in the top 25% of all sales.</t>
  </si>
  <si>
    <t>Questions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</si>
</sst>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$-409]#,##0.00"/>
    <numFmt numFmtId="165" formatCode="_-[$$-409]* #,##0.00_ ;_-[$$-409]* \-#,##0.00\ ;_-[$$-409]* &quot;-&quot;??_ ;_-@_ 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164" fontId="0" fillId="0" borderId="0" xfId="0" applyNumberFormat="1"/>
    <xf numFmtId="0" fontId="1" fillId="0" borderId="2" xfId="0" applyFont="1" applyBorder="1"/>
    <xf numFmtId="0" fontId="0" fillId="0" borderId="3" xfId="0" applyBorder="1"/>
    <xf numFmtId="0" fontId="1" fillId="0" borderId="4" xfId="0" applyFont="1" applyBorder="1" applyAlignment="1">
      <alignment horizontal="center"/>
    </xf>
    <xf numFmtId="0" fontId="0" fillId="0" borderId="5" xfId="0" applyBorder="1"/>
    <xf numFmtId="0" fontId="1" fillId="0" borderId="6" xfId="0" applyFont="1" applyBorder="1" applyAlignment="1">
      <alignment horizontal="center"/>
    </xf>
    <xf numFmtId="0" fontId="0" fillId="0" borderId="7" xfId="0" applyBorder="1"/>
    <xf numFmtId="0" fontId="1" fillId="0" borderId="1" xfId="0" applyFont="1" applyBorder="1"/>
    <xf numFmtId="164" fontId="1" fillId="0" borderId="1" xfId="0" applyNumberFormat="1" applyFont="1" applyBorder="1"/>
    <xf numFmtId="0" fontId="0" fillId="0" borderId="1" xfId="0" applyBorder="1"/>
    <xf numFmtId="165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20413F-E5AB-43D3-86D3-C3C94079817C}">
  <dimension ref="A1:P17"/>
  <sheetViews>
    <sheetView tabSelected="1" topLeftCell="B1" workbookViewId="0">
      <pane ySplit="1" topLeftCell="A2" activePane="bottomLeft" state="frozen"/>
      <selection pane="bottomLeft" activeCell="N2" sqref="N2"/>
    </sheetView>
  </sheetViews>
  <sheetFormatPr defaultRowHeight="14.4" x14ac:dyDescent="0.3"/>
  <cols>
    <col min="1" max="1" width="9.44140625" bestFit="1" customWidth="1"/>
    <col min="2" max="2" width="9" bestFit="1" customWidth="1"/>
    <col min="3" max="3" width="5.21875" bestFit="1" customWidth="1"/>
    <col min="4" max="4" width="6.33203125" bestFit="1" customWidth="1"/>
    <col min="5" max="5" width="6.77734375" bestFit="1" customWidth="1"/>
    <col min="6" max="6" width="13.33203125" bestFit="1" customWidth="1"/>
    <col min="7" max="7" width="16" bestFit="1" customWidth="1"/>
    <col min="8" max="8" width="17.21875" bestFit="1" customWidth="1"/>
    <col min="9" max="9" width="8.21875" bestFit="1" customWidth="1"/>
    <col min="10" max="10" width="18.77734375" bestFit="1" customWidth="1"/>
    <col min="11" max="11" width="10.6640625" bestFit="1" customWidth="1"/>
    <col min="12" max="12" width="13.88671875" style="2" bestFit="1" customWidth="1"/>
    <col min="13" max="13" width="15.88671875" bestFit="1" customWidth="1"/>
    <col min="16" max="16" width="143.77734375" bestFit="1" customWidth="1"/>
  </cols>
  <sheetData>
    <row r="1" spans="1:16" s="1" customFormat="1" x14ac:dyDescent="0.3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15</v>
      </c>
      <c r="G1" s="9" t="s">
        <v>16</v>
      </c>
      <c r="H1" s="9" t="s">
        <v>17</v>
      </c>
      <c r="I1" s="9" t="s">
        <v>18</v>
      </c>
      <c r="J1" s="9" t="s">
        <v>19</v>
      </c>
      <c r="K1" s="9" t="s">
        <v>20</v>
      </c>
      <c r="L1" s="10" t="s">
        <v>21</v>
      </c>
      <c r="M1" s="9" t="s">
        <v>22</v>
      </c>
    </row>
    <row r="2" spans="1:16" x14ac:dyDescent="0.3">
      <c r="A2" s="11">
        <v>101</v>
      </c>
      <c r="B2" s="11" t="s">
        <v>5</v>
      </c>
      <c r="C2" s="11">
        <v>120</v>
      </c>
      <c r="D2" s="11">
        <v>150</v>
      </c>
      <c r="E2" s="11" t="s">
        <v>6</v>
      </c>
      <c r="F2" s="11" t="str">
        <f>IF(C2&gt;=D2, "Yes", "No")</f>
        <v>No</v>
      </c>
      <c r="G2" s="11" t="str">
        <f>IF(AND(C2&gt;=200, E2="North"), "Eligible", "Not Eligible")</f>
        <v>Not Eligible</v>
      </c>
      <c r="H2" s="11" t="str">
        <f>IF(C2&gt;=200, "10%", IF(C2&gt;=150, "7%", "5%"))</f>
        <v>5%</v>
      </c>
      <c r="I2" s="11">
        <f>IF(C2&gt;=D2, C2*10%, C2*5%)</f>
        <v>6</v>
      </c>
      <c r="J2" s="11" t="str">
        <f>IF(C2&gt;=200,"Excellent",IF(C2&gt;=150,"Good", "Need Improvement"))</f>
        <v>Need Improvement</v>
      </c>
      <c r="K2" s="11" t="str">
        <f>IF(C2&gt;200,"High",IF(AND(C2&gt;=100,C2&lt;=200),"Medium","Low"))</f>
        <v>Medium</v>
      </c>
      <c r="L2" s="12" t="str">
        <f>IF(AND(C2&gt;=150, E2="North"), "$500", "$300")</f>
        <v>$300</v>
      </c>
      <c r="M2" s="11" t="str">
        <f>IF(C2&gt;=PERCENTILE($C$2:$C$7, 0.75), "High", "Low")</f>
        <v>Low</v>
      </c>
    </row>
    <row r="3" spans="1:16" x14ac:dyDescent="0.3">
      <c r="A3" s="11">
        <v>102</v>
      </c>
      <c r="B3" s="11" t="s">
        <v>7</v>
      </c>
      <c r="C3" s="11">
        <v>150</v>
      </c>
      <c r="D3" s="11">
        <v>140</v>
      </c>
      <c r="E3" s="11" t="s">
        <v>8</v>
      </c>
      <c r="F3" s="11" t="str">
        <f>IF(C3&gt;=D3, "Yes", "No")</f>
        <v>Yes</v>
      </c>
      <c r="G3" s="11" t="str">
        <f t="shared" ref="G3:G7" si="0">IF(AND(C3&gt;=200, E3="North"), "Eligible", "Not Eligible")</f>
        <v>Not Eligible</v>
      </c>
      <c r="H3" s="11" t="str">
        <f t="shared" ref="H3:H7" si="1">IF(C3&gt;=200, "10%", IF(C3&gt;=150, "7%", "5%"))</f>
        <v>7%</v>
      </c>
      <c r="I3" s="11">
        <f t="shared" ref="I3:I7" si="2">IF(C3&gt;=D3, C3*10%, C3*5%)</f>
        <v>15</v>
      </c>
      <c r="J3" s="11" t="str">
        <f t="shared" ref="J3:J7" si="3">IF(C3&gt;=200,"Excellent",IF(C3&gt;=150,"Good", "Need Improvement"))</f>
        <v>Good</v>
      </c>
      <c r="K3" s="11" t="str">
        <f t="shared" ref="K3:K7" si="4">IF(C3&gt;200,"High",IF(AND(C3&gt;=100,C3&lt;=200),"Medium","Low"))</f>
        <v>Medium</v>
      </c>
      <c r="L3" s="12" t="str">
        <f t="shared" ref="L3:L7" si="5">IF(AND(C3&gt;=150, E3="North"), "$500", "$300")</f>
        <v>$300</v>
      </c>
      <c r="M3" s="11" t="str">
        <f t="shared" ref="M3:M7" si="6">IF(C3&gt;=PERCENTILE($C$2:$C$7, 0.75), "High", "Low")</f>
        <v>Low</v>
      </c>
    </row>
    <row r="4" spans="1:16" x14ac:dyDescent="0.3">
      <c r="A4" s="11">
        <v>103</v>
      </c>
      <c r="B4" s="11" t="s">
        <v>9</v>
      </c>
      <c r="C4" s="11">
        <v>200</v>
      </c>
      <c r="D4" s="11">
        <v>200</v>
      </c>
      <c r="E4" s="11" t="s">
        <v>10</v>
      </c>
      <c r="F4" s="11" t="str">
        <f t="shared" ref="F4:F7" si="7">IF(C4&gt;=D4, "Yes", "No")</f>
        <v>Yes</v>
      </c>
      <c r="G4" s="11" t="str">
        <f t="shared" si="0"/>
        <v>Not Eligible</v>
      </c>
      <c r="H4" s="11" t="str">
        <f t="shared" si="1"/>
        <v>10%</v>
      </c>
      <c r="I4" s="11">
        <f t="shared" si="2"/>
        <v>20</v>
      </c>
      <c r="J4" s="11" t="str">
        <f t="shared" si="3"/>
        <v>Excellent</v>
      </c>
      <c r="K4" s="11" t="str">
        <f t="shared" si="4"/>
        <v>Medium</v>
      </c>
      <c r="L4" s="12" t="str">
        <f t="shared" si="5"/>
        <v>$300</v>
      </c>
      <c r="M4" s="11" t="str">
        <f t="shared" si="6"/>
        <v>High</v>
      </c>
    </row>
    <row r="5" spans="1:16" x14ac:dyDescent="0.3">
      <c r="A5" s="11">
        <v>104</v>
      </c>
      <c r="B5" s="11" t="s">
        <v>11</v>
      </c>
      <c r="C5" s="11">
        <v>90</v>
      </c>
      <c r="D5" s="11">
        <v>100</v>
      </c>
      <c r="E5" s="11" t="s">
        <v>12</v>
      </c>
      <c r="F5" s="11" t="str">
        <f t="shared" si="7"/>
        <v>No</v>
      </c>
      <c r="G5" s="11" t="str">
        <f t="shared" si="0"/>
        <v>Not Eligible</v>
      </c>
      <c r="H5" s="11" t="str">
        <f t="shared" si="1"/>
        <v>5%</v>
      </c>
      <c r="I5" s="11">
        <f t="shared" si="2"/>
        <v>4.5</v>
      </c>
      <c r="J5" s="11" t="str">
        <f t="shared" si="3"/>
        <v>Need Improvement</v>
      </c>
      <c r="K5" s="11" t="str">
        <f t="shared" si="4"/>
        <v>Low</v>
      </c>
      <c r="L5" s="12" t="str">
        <f t="shared" si="5"/>
        <v>$300</v>
      </c>
      <c r="M5" s="11" t="str">
        <f t="shared" si="6"/>
        <v>Low</v>
      </c>
    </row>
    <row r="6" spans="1:16" x14ac:dyDescent="0.3">
      <c r="A6" s="11">
        <v>105</v>
      </c>
      <c r="B6" s="11" t="s">
        <v>13</v>
      </c>
      <c r="C6" s="11">
        <v>220</v>
      </c>
      <c r="D6" s="11">
        <v>210</v>
      </c>
      <c r="E6" s="11" t="s">
        <v>6</v>
      </c>
      <c r="F6" s="11" t="str">
        <f t="shared" si="7"/>
        <v>Yes</v>
      </c>
      <c r="G6" s="11" t="str">
        <f t="shared" si="0"/>
        <v>Eligible</v>
      </c>
      <c r="H6" s="11" t="str">
        <f t="shared" si="1"/>
        <v>10%</v>
      </c>
      <c r="I6" s="11">
        <f t="shared" si="2"/>
        <v>22</v>
      </c>
      <c r="J6" s="11" t="str">
        <f t="shared" si="3"/>
        <v>Excellent</v>
      </c>
      <c r="K6" s="11" t="str">
        <f t="shared" si="4"/>
        <v>High</v>
      </c>
      <c r="L6" s="12" t="str">
        <f t="shared" si="5"/>
        <v>$500</v>
      </c>
      <c r="M6" s="11" t="str">
        <f t="shared" si="6"/>
        <v>High</v>
      </c>
    </row>
    <row r="7" spans="1:16" x14ac:dyDescent="0.3">
      <c r="A7" s="11">
        <v>106</v>
      </c>
      <c r="B7" s="11" t="s">
        <v>14</v>
      </c>
      <c r="C7" s="11">
        <v>130</v>
      </c>
      <c r="D7" s="11">
        <v>160</v>
      </c>
      <c r="E7" s="11" t="s">
        <v>8</v>
      </c>
      <c r="F7" s="11" t="str">
        <f t="shared" si="7"/>
        <v>No</v>
      </c>
      <c r="G7" s="11" t="str">
        <f t="shared" si="0"/>
        <v>Not Eligible</v>
      </c>
      <c r="H7" s="11" t="str">
        <f t="shared" si="1"/>
        <v>5%</v>
      </c>
      <c r="I7" s="11">
        <f t="shared" si="2"/>
        <v>6.5</v>
      </c>
      <c r="J7" s="11" t="str">
        <f t="shared" si="3"/>
        <v>Need Improvement</v>
      </c>
      <c r="K7" s="11" t="str">
        <f t="shared" si="4"/>
        <v>Medium</v>
      </c>
      <c r="L7" s="12" t="str">
        <f t="shared" si="5"/>
        <v>$300</v>
      </c>
      <c r="M7" s="11" t="str">
        <f t="shared" si="6"/>
        <v>Low</v>
      </c>
    </row>
    <row r="9" spans="1:16" x14ac:dyDescent="0.3">
      <c r="O9" s="3" t="s">
        <v>31</v>
      </c>
      <c r="P9" s="4"/>
    </row>
    <row r="10" spans="1:16" x14ac:dyDescent="0.3">
      <c r="O10" s="5">
        <v>1</v>
      </c>
      <c r="P10" s="6" t="s">
        <v>23</v>
      </c>
    </row>
    <row r="11" spans="1:16" x14ac:dyDescent="0.3">
      <c r="O11" s="5">
        <v>2</v>
      </c>
      <c r="P11" s="6" t="s">
        <v>24</v>
      </c>
    </row>
    <row r="12" spans="1:16" x14ac:dyDescent="0.3">
      <c r="O12" s="5">
        <v>3</v>
      </c>
      <c r="P12" s="6" t="s">
        <v>25</v>
      </c>
    </row>
    <row r="13" spans="1:16" x14ac:dyDescent="0.3">
      <c r="O13" s="5">
        <v>4</v>
      </c>
      <c r="P13" s="6" t="s">
        <v>26</v>
      </c>
    </row>
    <row r="14" spans="1:16" x14ac:dyDescent="0.3">
      <c r="O14" s="5">
        <v>5</v>
      </c>
      <c r="P14" s="6" t="s">
        <v>27</v>
      </c>
    </row>
    <row r="15" spans="1:16" x14ac:dyDescent="0.3">
      <c r="O15" s="5">
        <v>6</v>
      </c>
      <c r="P15" s="6" t="s">
        <v>28</v>
      </c>
    </row>
    <row r="16" spans="1:16" x14ac:dyDescent="0.3">
      <c r="O16" s="5">
        <v>7</v>
      </c>
      <c r="P16" s="6" t="s">
        <v>29</v>
      </c>
    </row>
    <row r="17" spans="15:16" x14ac:dyDescent="0.3">
      <c r="O17" s="7">
        <v>8</v>
      </c>
      <c r="P17" s="8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Lab_2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 Roy</dc:creator>
  <cp:lastModifiedBy>Deep Roy</cp:lastModifiedBy>
  <dcterms:created xsi:type="dcterms:W3CDTF">2026-05-18T14:54:19Z</dcterms:created>
  <dcterms:modified xsi:type="dcterms:W3CDTF">2026-05-19T05:22:24Z</dcterms:modified>
</cp:coreProperties>
</file>