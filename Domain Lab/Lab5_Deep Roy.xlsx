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Anudip_Task\Domain\Lab work\"/>
    </mc:Choice>
  </mc:AlternateContent>
  <xr:revisionPtr revIDLastSave="0" documentId="13_ncr:1_{6C058A21-2B69-498C-9794-0F9FC6604B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7" i="2" l="1"/>
  <c r="X17" i="2"/>
  <c r="U15" i="2"/>
  <c r="U16" i="2"/>
  <c r="U17" i="2"/>
  <c r="U18" i="2"/>
  <c r="U19" i="2"/>
  <c r="U20" i="2"/>
  <c r="U14" i="2"/>
  <c r="T15" i="2"/>
  <c r="T16" i="2"/>
  <c r="T17" i="2"/>
  <c r="T18" i="2"/>
  <c r="T19" i="2"/>
  <c r="T20" i="2"/>
  <c r="T14" i="2"/>
  <c r="S14" i="2"/>
  <c r="S15" i="2"/>
  <c r="S16" i="2"/>
  <c r="S17" i="2"/>
  <c r="S18" i="2"/>
  <c r="S19" i="2"/>
  <c r="S20" i="2"/>
  <c r="K9" i="2"/>
  <c r="H9" i="2"/>
  <c r="F9" i="2"/>
  <c r="M4" i="2"/>
  <c r="M5" i="2"/>
  <c r="M6" i="2"/>
  <c r="M7" i="2"/>
  <c r="M8" i="2"/>
  <c r="M9" i="2"/>
  <c r="M3" i="2"/>
  <c r="K5" i="2"/>
  <c r="K6" i="2"/>
  <c r="K7" i="2"/>
  <c r="K8" i="2"/>
  <c r="K3" i="2"/>
  <c r="K4" i="2"/>
  <c r="H4" i="2"/>
  <c r="H5" i="2"/>
  <c r="H6" i="2"/>
  <c r="I6" i="2" s="1"/>
  <c r="H7" i="2"/>
  <c r="I7" i="2" s="1"/>
  <c r="H8" i="2"/>
  <c r="I8" i="2" s="1"/>
  <c r="H3" i="2"/>
  <c r="I3" i="2" s="1"/>
  <c r="G3" i="2"/>
  <c r="G4" i="2"/>
  <c r="G5" i="2"/>
  <c r="G6" i="2"/>
  <c r="G7" i="2"/>
  <c r="G8" i="2"/>
  <c r="G9" i="2"/>
  <c r="E4" i="2"/>
  <c r="E5" i="2"/>
  <c r="F5" i="2" s="1"/>
  <c r="E6" i="2"/>
  <c r="F6" i="2" s="1"/>
  <c r="E7" i="2"/>
  <c r="F7" i="2" s="1"/>
  <c r="E8" i="2"/>
  <c r="E3" i="2"/>
  <c r="D4" i="2"/>
  <c r="D5" i="2"/>
  <c r="D6" i="2"/>
  <c r="D7" i="2"/>
  <c r="D8" i="2"/>
  <c r="D3" i="2"/>
  <c r="I9" i="2" l="1"/>
  <c r="J9" i="2" s="1"/>
  <c r="L3" i="2"/>
  <c r="J3" i="2"/>
  <c r="I5" i="2"/>
  <c r="J5" i="2" s="1"/>
  <c r="J8" i="2"/>
  <c r="I4" i="2"/>
  <c r="J4" i="2" s="1"/>
  <c r="J7" i="2"/>
  <c r="J6" i="2"/>
  <c r="F3" i="2"/>
  <c r="F8" i="2"/>
  <c r="F4" i="2"/>
</calcChain>
</file>

<file path=xl/sharedStrings.xml><?xml version="1.0" encoding="utf-8"?>
<sst xmlns="http://schemas.openxmlformats.org/spreadsheetml/2006/main" count="53" uniqueCount="42">
  <si>
    <t>Product 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</si>
  <si>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</si>
  <si>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</si>
  <si>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</si>
  <si>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</si>
  <si>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</si>
  <si>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</si>
  <si>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</si>
  <si>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</si>
  <si>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 ID</t>
  </si>
  <si>
    <t>Quantity</t>
  </si>
  <si>
    <t>1. Product Name</t>
  </si>
  <si>
    <t>Worksheet 1</t>
  </si>
  <si>
    <t>Worksheet  2</t>
  </si>
  <si>
    <t>2. Price</t>
  </si>
  <si>
    <t>Random G</t>
  </si>
  <si>
    <t>4. Original Price</t>
  </si>
  <si>
    <t>Discounted Price</t>
  </si>
  <si>
    <t>Use VLOOKUP to find the product names for each ProductID in the Orders worksheet.</t>
  </si>
  <si>
    <t>Use VLOOKUP to find the price for each ProductID in the Orders worksheet, then calculate the TotalPrice by multiplying the Quantity by the Product Price.</t>
  </si>
  <si>
    <t>Use VLOOKUP to check if there are any ProductIDs in the Orders worksheet that do not exist in the Products worksheet.</t>
  </si>
  <si>
    <t>Assume a discount of 10% is given on all products. Use VLOOKUP to find the original price and then calculate the discounted price.</t>
  </si>
  <si>
    <t>Use VLOOKUP to find the price for each ProductID and then calculate the order value. Find the maximum order value from the list.</t>
  </si>
  <si>
    <t>Use VLOOKUP to find out which products from the Products worksheet have not been ordered.</t>
  </si>
  <si>
    <t>Use VLOOKUP to find the Product name and summarize the total quantity sold for each product.</t>
  </si>
  <si>
    <t>Q6.</t>
  </si>
  <si>
    <t>Q1.</t>
  </si>
  <si>
    <t>Q2.</t>
  </si>
  <si>
    <t>Q3.</t>
  </si>
  <si>
    <t>Q4.</t>
  </si>
  <si>
    <t>Q5.</t>
  </si>
  <si>
    <t>Discounted Amount</t>
  </si>
  <si>
    <t>Total Price</t>
  </si>
  <si>
    <t>3. Product Exists or Not</t>
  </si>
  <si>
    <t>5. Order value</t>
  </si>
  <si>
    <t>Maximum Order Value</t>
  </si>
  <si>
    <t>6. Ordered or Not</t>
  </si>
  <si>
    <t>Q7</t>
  </si>
  <si>
    <t>Product Name</t>
  </si>
  <si>
    <t>Total price</t>
  </si>
  <si>
    <t>Product F Extra -</t>
  </si>
  <si>
    <t>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</si>
</sst>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0" xfId="0" applyFont="1" applyFill="1"/>
    <xf numFmtId="0" fontId="1" fillId="0" borderId="1" xfId="0" applyFont="1" applyBorder="1"/>
    <xf numFmtId="0" fontId="1" fillId="3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7"/>
  <sheetViews>
    <sheetView workbookViewId="0">
      <selection activeCell="F15" sqref="F15"/>
    </sheetView>
  </sheetViews>
  <sheetFormatPr defaultRowHeight="14.4" x14ac:dyDescent="0.3"/>
  <cols>
    <col min="1" max="2" width="10.109375" bestFit="1" customWidth="1"/>
    <col min="3" max="3" width="9.5546875" bestFit="1" customWidth="1"/>
    <col min="4" max="4" width="5.44140625" bestFit="1" customWidth="1"/>
    <col min="7" max="7" width="9.88671875" bestFit="1" customWidth="1"/>
    <col min="8" max="8" width="9" bestFit="1" customWidth="1"/>
  </cols>
  <sheetData>
    <row r="2" spans="2:9" x14ac:dyDescent="0.3">
      <c r="B2" s="2" t="s">
        <v>12</v>
      </c>
      <c r="C2" s="2"/>
      <c r="D2" s="4"/>
    </row>
    <row r="4" spans="2:9" x14ac:dyDescent="0.3">
      <c r="B4" s="3" t="s">
        <v>0</v>
      </c>
      <c r="C4" s="3" t="s">
        <v>1</v>
      </c>
      <c r="D4" s="3" t="s">
        <v>2</v>
      </c>
      <c r="G4" s="6"/>
      <c r="H4" s="6"/>
      <c r="I4" s="6"/>
    </row>
    <row r="5" spans="2:9" x14ac:dyDescent="0.3">
      <c r="B5" s="1">
        <v>101</v>
      </c>
      <c r="C5" s="1" t="s">
        <v>3</v>
      </c>
      <c r="D5" s="1">
        <v>120</v>
      </c>
    </row>
    <row r="6" spans="2:9" x14ac:dyDescent="0.3">
      <c r="B6" s="1">
        <v>102</v>
      </c>
      <c r="C6" s="1" t="s">
        <v>4</v>
      </c>
      <c r="D6" s="1">
        <v>150</v>
      </c>
    </row>
    <row r="7" spans="2:9" x14ac:dyDescent="0.3">
      <c r="B7" s="1">
        <v>103</v>
      </c>
      <c r="C7" s="1" t="s">
        <v>5</v>
      </c>
      <c r="D7" s="1">
        <v>200</v>
      </c>
    </row>
    <row r="8" spans="2:9" x14ac:dyDescent="0.3">
      <c r="B8" s="1">
        <v>104</v>
      </c>
      <c r="C8" s="1" t="s">
        <v>6</v>
      </c>
      <c r="D8" s="1">
        <v>90</v>
      </c>
    </row>
    <row r="9" spans="2:9" x14ac:dyDescent="0.3">
      <c r="B9" s="1">
        <v>105</v>
      </c>
      <c r="C9" s="1" t="s">
        <v>7</v>
      </c>
      <c r="D9" s="1">
        <v>220</v>
      </c>
    </row>
    <row r="10" spans="2:9" x14ac:dyDescent="0.3">
      <c r="B10" s="1">
        <v>106</v>
      </c>
      <c r="C10" s="1" t="s">
        <v>8</v>
      </c>
      <c r="D10" s="1">
        <v>130</v>
      </c>
    </row>
    <row r="16" spans="2:9" x14ac:dyDescent="0.3">
      <c r="B16" s="5"/>
    </row>
    <row r="17" spans="2:2" x14ac:dyDescent="0.3">
      <c r="B1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FA5B-A1AA-4284-82E0-D4401EAEBA36}">
  <dimension ref="A1:Y20"/>
  <sheetViews>
    <sheetView tabSelected="1" workbookViewId="0">
      <selection activeCell="I3" sqref="I3"/>
    </sheetView>
  </sheetViews>
  <sheetFormatPr defaultRowHeight="14.4" x14ac:dyDescent="0.3"/>
  <cols>
    <col min="1" max="1" width="8.44140625" bestFit="1" customWidth="1"/>
    <col min="2" max="2" width="9.77734375" customWidth="1"/>
    <col min="3" max="3" width="10.109375" bestFit="1" customWidth="1"/>
    <col min="4" max="4" width="15.21875" bestFit="1" customWidth="1"/>
    <col min="5" max="5" width="15.6640625" bestFit="1" customWidth="1"/>
    <col min="6" max="6" width="9.77734375" bestFit="1" customWidth="1"/>
    <col min="7" max="8" width="20.6640625" bestFit="1" customWidth="1"/>
    <col min="9" max="9" width="20.6640625" customWidth="1"/>
    <col min="10" max="11" width="18" bestFit="1" customWidth="1"/>
    <col min="12" max="13" width="20.21875" bestFit="1" customWidth="1"/>
    <col min="14" max="14" width="19.33203125" bestFit="1" customWidth="1"/>
    <col min="15" max="15" width="13.33203125" customWidth="1"/>
    <col min="16" max="16" width="11.88671875" customWidth="1"/>
    <col min="17" max="17" width="9.88671875" bestFit="1" customWidth="1"/>
    <col min="19" max="19" width="12.88671875" customWidth="1"/>
    <col min="21" max="21" width="9.77734375" bestFit="1" customWidth="1"/>
    <col min="23" max="23" width="13.21875" bestFit="1" customWidth="1"/>
    <col min="24" max="24" width="12.44140625" bestFit="1" customWidth="1"/>
    <col min="25" max="25" width="9.6640625" bestFit="1" customWidth="1"/>
  </cols>
  <sheetData>
    <row r="1" spans="1:25" x14ac:dyDescent="0.3">
      <c r="A1" s="2" t="s">
        <v>13</v>
      </c>
      <c r="B1" s="7"/>
    </row>
    <row r="2" spans="1:25" x14ac:dyDescent="0.3">
      <c r="A2" s="3" t="s">
        <v>9</v>
      </c>
      <c r="B2" s="3" t="s">
        <v>0</v>
      </c>
      <c r="C2" s="3" t="s">
        <v>10</v>
      </c>
      <c r="D2" s="3" t="s">
        <v>11</v>
      </c>
      <c r="E2" s="3" t="s">
        <v>14</v>
      </c>
      <c r="F2" s="3" t="s">
        <v>32</v>
      </c>
      <c r="G2" s="3" t="s">
        <v>33</v>
      </c>
      <c r="H2" s="3" t="s">
        <v>16</v>
      </c>
      <c r="I2" s="3" t="s">
        <v>17</v>
      </c>
      <c r="J2" s="3" t="s">
        <v>31</v>
      </c>
      <c r="K2" s="3" t="s">
        <v>34</v>
      </c>
      <c r="L2" s="3" t="s">
        <v>35</v>
      </c>
      <c r="M2" s="3" t="s">
        <v>36</v>
      </c>
      <c r="N2" s="6"/>
    </row>
    <row r="3" spans="1:25" x14ac:dyDescent="0.3">
      <c r="A3" s="1">
        <v>1</v>
      </c>
      <c r="B3" s="1">
        <v>101</v>
      </c>
      <c r="C3" s="1">
        <v>2</v>
      </c>
      <c r="D3" s="1" t="str">
        <f>VLOOKUP(B3,Products!$B$4:$D$10,2,0)</f>
        <v>Product A</v>
      </c>
      <c r="E3" s="1">
        <f>VLOOKUP(B3,Products!$B$4:$D$10,3,0)</f>
        <v>120</v>
      </c>
      <c r="F3" s="1">
        <f t="shared" ref="F3:F9" si="0">E3*C3</f>
        <v>240</v>
      </c>
      <c r="G3" s="1" t="str">
        <f>IF(ISNA(VLOOKUP(B3,Products!$B$4:$D$10,1,0)),"Not Exist", "Exists")</f>
        <v>Exists</v>
      </c>
      <c r="H3" s="1">
        <f>VLOOKUP(B3,Products!$B$4:$D$10,3,0)</f>
        <v>120</v>
      </c>
      <c r="I3" s="1">
        <f>H3-(H3*10%)</f>
        <v>108</v>
      </c>
      <c r="J3" s="1">
        <f>H3-I3</f>
        <v>12</v>
      </c>
      <c r="K3" s="1">
        <f>SUM(VLOOKUP(B3,Products!$B$4:$D$10,3,0)*C3)</f>
        <v>240</v>
      </c>
      <c r="L3" s="9">
        <f>MAX(K3:K8)</f>
        <v>880</v>
      </c>
      <c r="M3" s="1" t="str">
        <f>IF(ISNA(VLOOKUP(B3,Products!$B$4:$D$10,2,0)),"Not Ordered", "Ordered")</f>
        <v>Ordered</v>
      </c>
    </row>
    <row r="4" spans="1:25" x14ac:dyDescent="0.3">
      <c r="A4" s="1">
        <v>2</v>
      </c>
      <c r="B4" s="1">
        <v>103</v>
      </c>
      <c r="C4" s="1">
        <v>1</v>
      </c>
      <c r="D4" s="1" t="str">
        <f>VLOOKUP(B4,Products!$B$4:$D$10,2,0)</f>
        <v>Product C</v>
      </c>
      <c r="E4" s="1">
        <f>VLOOKUP(B4,Products!$B$4:$D$10,3,0)</f>
        <v>200</v>
      </c>
      <c r="F4" s="1">
        <f t="shared" si="0"/>
        <v>200</v>
      </c>
      <c r="G4" s="1" t="str">
        <f>IF(ISNA(VLOOKUP(B4,Products!$B$4:$D$10,1,0)),"Not Exist", "Exists")</f>
        <v>Exists</v>
      </c>
      <c r="H4" s="1">
        <f>VLOOKUP(B4,Products!$B$4:$D$10,3,0)</f>
        <v>200</v>
      </c>
      <c r="I4" s="1">
        <f t="shared" ref="I4:I9" si="1">H4-(H4*10%)</f>
        <v>180</v>
      </c>
      <c r="J4" s="1">
        <f t="shared" ref="J4:J9" si="2">H4-I4</f>
        <v>20</v>
      </c>
      <c r="K4" s="1">
        <f>SUM(VLOOKUP(B4,Products!$B$4:$D$10,3,0)*C4)</f>
        <v>200</v>
      </c>
      <c r="L4" s="10"/>
      <c r="M4" s="1" t="str">
        <f>IF(ISNA(VLOOKUP(B4,Products!$B$4:$D$10,2,0)),"Not Ordered", "Ordered")</f>
        <v>Ordered</v>
      </c>
      <c r="P4" s="6"/>
    </row>
    <row r="5" spans="1:25" x14ac:dyDescent="0.3">
      <c r="A5" s="1">
        <v>3</v>
      </c>
      <c r="B5" s="1">
        <v>105</v>
      </c>
      <c r="C5" s="1">
        <v>4</v>
      </c>
      <c r="D5" s="1" t="str">
        <f>VLOOKUP(B5,Products!$B$4:$D$10,2,0)</f>
        <v>Product E</v>
      </c>
      <c r="E5" s="1">
        <f>VLOOKUP(B5,Products!$B$4:$D$10,3,0)</f>
        <v>220</v>
      </c>
      <c r="F5" s="1">
        <f t="shared" si="0"/>
        <v>880</v>
      </c>
      <c r="G5" s="1" t="str">
        <f>IF(ISNA(VLOOKUP(B5,Products!$B$4:$D$10,1,0)),"Not Exist", "Exists")</f>
        <v>Exists</v>
      </c>
      <c r="H5" s="1">
        <f>VLOOKUP(B5,Products!$B$4:$D$10,3,0)</f>
        <v>220</v>
      </c>
      <c r="I5" s="1">
        <f t="shared" si="1"/>
        <v>198</v>
      </c>
      <c r="J5" s="1">
        <f t="shared" si="2"/>
        <v>22</v>
      </c>
      <c r="K5" s="1">
        <f>SUM(VLOOKUP(B5,Products!$B$4:$D$10,3,0)*C5)</f>
        <v>880</v>
      </c>
      <c r="L5" s="10"/>
      <c r="M5" s="1" t="str">
        <f>IF(ISNA(VLOOKUP(B5,Products!$B$4:$D$10,2,0)),"Not Ordered", "Ordered")</f>
        <v>Ordered</v>
      </c>
    </row>
    <row r="6" spans="1:25" x14ac:dyDescent="0.3">
      <c r="A6" s="1">
        <v>4</v>
      </c>
      <c r="B6" s="1">
        <v>106</v>
      </c>
      <c r="C6" s="1">
        <v>3</v>
      </c>
      <c r="D6" s="1" t="str">
        <f>VLOOKUP(B6,Products!$B$4:$D$10,2,0)</f>
        <v>Product F</v>
      </c>
      <c r="E6" s="1">
        <f>VLOOKUP(B6,Products!$B$4:$D$10,3,0)</f>
        <v>130</v>
      </c>
      <c r="F6" s="1">
        <f t="shared" si="0"/>
        <v>390</v>
      </c>
      <c r="G6" s="1" t="str">
        <f>IF(ISNA(VLOOKUP(B6,Products!$B$4:$D$10,1,0)),"Not Exist", "Exists")</f>
        <v>Exists</v>
      </c>
      <c r="H6" s="1">
        <f>VLOOKUP(B6,Products!$B$4:$D$10,3,0)</f>
        <v>130</v>
      </c>
      <c r="I6" s="1">
        <f t="shared" si="1"/>
        <v>117</v>
      </c>
      <c r="J6" s="1">
        <f t="shared" si="2"/>
        <v>13</v>
      </c>
      <c r="K6" s="1">
        <f>SUM(VLOOKUP(B6,Products!$B$4:$D$10,3,0)*C6)</f>
        <v>390</v>
      </c>
      <c r="L6" s="10"/>
      <c r="M6" s="1" t="str">
        <f>IF(ISNA(VLOOKUP(B6,Products!$B$4:$D$10,2,0)),"Not Ordered", "Ordered")</f>
        <v>Ordered</v>
      </c>
    </row>
    <row r="7" spans="1:25" x14ac:dyDescent="0.3">
      <c r="A7" s="1">
        <v>5</v>
      </c>
      <c r="B7" s="1">
        <v>102</v>
      </c>
      <c r="C7" s="1">
        <v>5</v>
      </c>
      <c r="D7" s="1" t="str">
        <f>VLOOKUP(B7,Products!$B$4:$D$10,2,0)</f>
        <v>Product B</v>
      </c>
      <c r="E7" s="1">
        <f>VLOOKUP(B7,Products!$B$4:$D$10,3,0)</f>
        <v>150</v>
      </c>
      <c r="F7" s="1">
        <f t="shared" si="0"/>
        <v>750</v>
      </c>
      <c r="G7" s="1" t="str">
        <f>IF(ISNA(VLOOKUP(B7,Products!$B$4:$D$10,1,0)),"Not Exist", "Exists")</f>
        <v>Exists</v>
      </c>
      <c r="H7" s="1">
        <f>VLOOKUP(B7,Products!$B$4:$D$10,3,0)</f>
        <v>150</v>
      </c>
      <c r="I7" s="1">
        <f t="shared" si="1"/>
        <v>135</v>
      </c>
      <c r="J7" s="1">
        <f t="shared" si="2"/>
        <v>15</v>
      </c>
      <c r="K7" s="1">
        <f>SUM(VLOOKUP(B7,Products!$B$4:$D$10,3,0)*C7)</f>
        <v>750</v>
      </c>
      <c r="L7" s="10"/>
      <c r="M7" s="1" t="str">
        <f>IF(ISNA(VLOOKUP(B7,Products!$B$4:$D$10,2,0)),"Not Ordered", "Ordered")</f>
        <v>Ordered</v>
      </c>
    </row>
    <row r="8" spans="1:25" x14ac:dyDescent="0.3">
      <c r="A8" s="1">
        <v>6</v>
      </c>
      <c r="B8" s="1">
        <v>104</v>
      </c>
      <c r="C8" s="1">
        <v>6</v>
      </c>
      <c r="D8" s="1" t="str">
        <f>VLOOKUP(B8,Products!$B$4:$D$10,2,0)</f>
        <v>Product D</v>
      </c>
      <c r="E8" s="1">
        <f>VLOOKUP(B8,Products!$B$4:$D$10,3,0)</f>
        <v>90</v>
      </c>
      <c r="F8" s="1">
        <f t="shared" si="0"/>
        <v>540</v>
      </c>
      <c r="G8" s="1" t="str">
        <f>IF(ISNA(VLOOKUP(B8,Products!$B$4:$D$10,1,0)),"Not Exist", "Exists")</f>
        <v>Exists</v>
      </c>
      <c r="H8" s="1">
        <f>VLOOKUP(B8,Products!$B$4:$D$10,3,0)</f>
        <v>90</v>
      </c>
      <c r="I8" s="1">
        <f t="shared" si="1"/>
        <v>81</v>
      </c>
      <c r="J8" s="1">
        <f t="shared" si="2"/>
        <v>9</v>
      </c>
      <c r="K8" s="1">
        <f>SUM(VLOOKUP(B8,Products!$B$4:$D$10,3,0)*C8)</f>
        <v>540</v>
      </c>
      <c r="L8" s="11"/>
      <c r="M8" s="1" t="str">
        <f>IF(ISNA(VLOOKUP(B8,Products!$B$4:$D$10,2,0)),"Not Ordered", "Ordered")</f>
        <v>Ordered</v>
      </c>
    </row>
    <row r="9" spans="1:25" x14ac:dyDescent="0.3">
      <c r="A9" s="1">
        <v>7</v>
      </c>
      <c r="B9" s="1">
        <v>108</v>
      </c>
      <c r="C9" s="1">
        <v>7</v>
      </c>
      <c r="D9" s="1" t="s">
        <v>15</v>
      </c>
      <c r="E9" s="1">
        <v>250</v>
      </c>
      <c r="F9" s="1">
        <f t="shared" si="0"/>
        <v>1750</v>
      </c>
      <c r="G9" s="1" t="str">
        <f>IF(ISNA(VLOOKUP(B9,Products!$B$4:$D$10,1,0)),"Not Exist", "Exists")</f>
        <v>Not Exist</v>
      </c>
      <c r="H9" s="1" t="e">
        <f>VLOOKUP(B9,Products!$B$4:$D$10,3,0)</f>
        <v>#N/A</v>
      </c>
      <c r="I9" s="1" t="e">
        <f t="shared" si="1"/>
        <v>#N/A</v>
      </c>
      <c r="J9" s="1" t="e">
        <f t="shared" si="2"/>
        <v>#N/A</v>
      </c>
      <c r="K9" s="1" t="e">
        <f>SUM(VLOOKUP(B9,Products!$B$4:$D$10,3,0)*C9)</f>
        <v>#N/A</v>
      </c>
      <c r="L9" s="8" t="e">
        <v>#N/A</v>
      </c>
      <c r="M9" s="1" t="str">
        <f>IF(ISNA(VLOOKUP(B9,Products!$B$4:$D$10,2,0)),"Not Ordered", "Ordered")</f>
        <v>Not Ordered</v>
      </c>
    </row>
    <row r="11" spans="1:25" x14ac:dyDescent="0.3">
      <c r="O11" s="5" t="s">
        <v>37</v>
      </c>
      <c r="P11" s="12" t="s">
        <v>24</v>
      </c>
      <c r="Q11" s="12"/>
      <c r="R11" s="12"/>
      <c r="S11" s="12"/>
      <c r="T11" s="12"/>
      <c r="U11" s="12"/>
      <c r="V11" s="12"/>
      <c r="W11" s="12"/>
    </row>
    <row r="13" spans="1:25" x14ac:dyDescent="0.3">
      <c r="A13" s="5" t="s">
        <v>26</v>
      </c>
      <c r="B13" t="s">
        <v>18</v>
      </c>
      <c r="L13" s="3" t="s">
        <v>9</v>
      </c>
      <c r="M13" s="3" t="s">
        <v>0</v>
      </c>
      <c r="N13" s="3" t="s">
        <v>10</v>
      </c>
      <c r="P13" s="3" t="s">
        <v>9</v>
      </c>
      <c r="Q13" s="3" t="s">
        <v>0</v>
      </c>
      <c r="R13" s="3" t="s">
        <v>10</v>
      </c>
      <c r="S13" s="3" t="s">
        <v>38</v>
      </c>
      <c r="T13" s="3" t="s">
        <v>2</v>
      </c>
      <c r="U13" s="3" t="s">
        <v>39</v>
      </c>
      <c r="V13" s="6"/>
    </row>
    <row r="14" spans="1:25" x14ac:dyDescent="0.3">
      <c r="A14" s="5" t="s">
        <v>27</v>
      </c>
      <c r="B14" t="s">
        <v>19</v>
      </c>
      <c r="L14" s="1">
        <v>1</v>
      </c>
      <c r="M14" s="1">
        <v>101</v>
      </c>
      <c r="N14" s="1">
        <v>2</v>
      </c>
      <c r="P14" s="1">
        <v>1</v>
      </c>
      <c r="Q14" s="1">
        <v>101</v>
      </c>
      <c r="R14" s="1">
        <v>2</v>
      </c>
      <c r="S14" s="1" t="str">
        <f>VLOOKUP(M14,Products!$B$4:$D$10,2,0)</f>
        <v>Product A</v>
      </c>
      <c r="T14" s="1">
        <f>VLOOKUP(M14,Products!$B$4:$D$10,3,0)</f>
        <v>120</v>
      </c>
      <c r="U14" s="1">
        <f>R14*T14</f>
        <v>240</v>
      </c>
    </row>
    <row r="15" spans="1:25" x14ac:dyDescent="0.3">
      <c r="A15" s="5" t="s">
        <v>28</v>
      </c>
      <c r="B15" t="s">
        <v>20</v>
      </c>
      <c r="L15" s="1">
        <v>2</v>
      </c>
      <c r="M15" s="1">
        <v>103</v>
      </c>
      <c r="N15" s="1">
        <v>1</v>
      </c>
      <c r="P15" s="1">
        <v>2</v>
      </c>
      <c r="Q15" s="1">
        <v>103</v>
      </c>
      <c r="R15" s="1">
        <v>1</v>
      </c>
      <c r="S15" s="1" t="str">
        <f>VLOOKUP(M15,Products!$B$4:$D$10,2,0)</f>
        <v>Product C</v>
      </c>
      <c r="T15" s="1">
        <f>VLOOKUP(M15,Products!$B$4:$D$10,3,0)</f>
        <v>200</v>
      </c>
      <c r="U15" s="1">
        <f t="shared" ref="U15:U20" si="3">R15*T15</f>
        <v>200</v>
      </c>
    </row>
    <row r="16" spans="1:25" x14ac:dyDescent="0.3">
      <c r="A16" s="5" t="s">
        <v>29</v>
      </c>
      <c r="B16" t="s">
        <v>21</v>
      </c>
      <c r="L16" s="1">
        <v>3</v>
      </c>
      <c r="M16" s="1">
        <v>105</v>
      </c>
      <c r="N16" s="1">
        <v>4</v>
      </c>
      <c r="P16" s="1">
        <v>3</v>
      </c>
      <c r="Q16" s="1">
        <v>105</v>
      </c>
      <c r="R16" s="1">
        <v>4</v>
      </c>
      <c r="S16" s="1" t="str">
        <f>VLOOKUP(M16,Products!$B$4:$D$10,2,0)</f>
        <v>Product E</v>
      </c>
      <c r="T16" s="1">
        <f>VLOOKUP(M16,Products!$B$4:$D$10,3,0)</f>
        <v>220</v>
      </c>
      <c r="U16" s="1">
        <f t="shared" si="3"/>
        <v>880</v>
      </c>
      <c r="W16" s="3" t="s">
        <v>38</v>
      </c>
      <c r="X16" s="3" t="s">
        <v>41</v>
      </c>
      <c r="Y16" s="3" t="s">
        <v>32</v>
      </c>
    </row>
    <row r="17" spans="1:25" x14ac:dyDescent="0.3">
      <c r="A17" s="5" t="s">
        <v>30</v>
      </c>
      <c r="B17" t="s">
        <v>22</v>
      </c>
      <c r="L17" s="1">
        <v>4</v>
      </c>
      <c r="M17" s="1">
        <v>106</v>
      </c>
      <c r="N17" s="1">
        <v>3</v>
      </c>
      <c r="P17" s="1">
        <v>4</v>
      </c>
      <c r="Q17" s="1">
        <v>106</v>
      </c>
      <c r="R17" s="1">
        <v>3</v>
      </c>
      <c r="S17" s="1" t="str">
        <f>VLOOKUP(M17,Products!$B$4:$D$10,2,0)</f>
        <v>Product F</v>
      </c>
      <c r="T17" s="1">
        <f>VLOOKUP(M17,Products!$B$4:$D$10,3,0)</f>
        <v>130</v>
      </c>
      <c r="U17" s="1">
        <f t="shared" si="3"/>
        <v>390</v>
      </c>
      <c r="W17" s="1" t="s">
        <v>8</v>
      </c>
      <c r="X17" s="1">
        <f>SUMIF(S14:S20,W17,R14:R20)</f>
        <v>6</v>
      </c>
      <c r="Y17" s="1">
        <f>SUMIF(S14:S20,W17,U14:U20)</f>
        <v>780</v>
      </c>
    </row>
    <row r="18" spans="1:25" x14ac:dyDescent="0.3">
      <c r="A18" s="5" t="s">
        <v>25</v>
      </c>
      <c r="B18" t="s">
        <v>23</v>
      </c>
      <c r="L18" s="1">
        <v>5</v>
      </c>
      <c r="M18" s="1">
        <v>102</v>
      </c>
      <c r="N18" s="1">
        <v>5</v>
      </c>
      <c r="P18" s="1">
        <v>5</v>
      </c>
      <c r="Q18" s="1">
        <v>102</v>
      </c>
      <c r="R18" s="1">
        <v>5</v>
      </c>
      <c r="S18" s="1" t="str">
        <f>VLOOKUP(M18,Products!$B$4:$D$10,2,0)</f>
        <v>Product B</v>
      </c>
      <c r="T18" s="1">
        <f>VLOOKUP(M18,Products!$B$4:$D$10,3,0)</f>
        <v>150</v>
      </c>
      <c r="U18" s="1">
        <f t="shared" si="3"/>
        <v>750</v>
      </c>
    </row>
    <row r="19" spans="1:25" x14ac:dyDescent="0.3">
      <c r="A19" s="5"/>
      <c r="L19" s="1">
        <v>6</v>
      </c>
      <c r="M19" s="1">
        <v>104</v>
      </c>
      <c r="N19" s="1">
        <v>6</v>
      </c>
      <c r="P19" s="1">
        <v>6</v>
      </c>
      <c r="Q19" s="1">
        <v>104</v>
      </c>
      <c r="R19" s="1">
        <v>6</v>
      </c>
      <c r="S19" s="1" t="str">
        <f>VLOOKUP(M19,Products!$B$4:$D$10,2,0)</f>
        <v>Product D</v>
      </c>
      <c r="T19" s="1">
        <f>VLOOKUP(M19,Products!$B$4:$D$10,3,0)</f>
        <v>90</v>
      </c>
      <c r="U19" s="1">
        <f t="shared" si="3"/>
        <v>540</v>
      </c>
    </row>
    <row r="20" spans="1:25" x14ac:dyDescent="0.3">
      <c r="K20" t="s">
        <v>40</v>
      </c>
      <c r="L20" s="1">
        <v>7</v>
      </c>
      <c r="M20" s="1">
        <v>106</v>
      </c>
      <c r="N20" s="1">
        <v>3</v>
      </c>
      <c r="P20" s="1">
        <v>7</v>
      </c>
      <c r="Q20" s="1">
        <v>106</v>
      </c>
      <c r="R20" s="1">
        <v>3</v>
      </c>
      <c r="S20" s="1" t="str">
        <f>VLOOKUP(M20,Products!$B$4:$D$10,2,0)</f>
        <v>Product F</v>
      </c>
      <c r="T20" s="1">
        <f>VLOOKUP(M20,Products!$B$4:$D$10,3,0)</f>
        <v>130</v>
      </c>
      <c r="U20" s="1">
        <f t="shared" si="3"/>
        <v>390</v>
      </c>
    </row>
  </sheetData>
  <mergeCells count="2">
    <mergeCell ref="L3:L8"/>
    <mergeCell ref="P11:W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Kuntal</dc:creator>
  <cp:lastModifiedBy>Deep Roy</cp:lastModifiedBy>
  <dcterms:created xsi:type="dcterms:W3CDTF">2015-06-05T18:17:20Z</dcterms:created>
  <dcterms:modified xsi:type="dcterms:W3CDTF">2026-05-25T08:17:39Z</dcterms:modified>
</cp:coreProperties>
</file>