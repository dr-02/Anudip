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795DE144-32E8-4262-ACAD-B4C8D455E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 &amp; M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K31" i="1"/>
  <c r="L41" i="1"/>
  <c r="L36" i="1"/>
  <c r="L25" i="1"/>
  <c r="K20" i="1"/>
  <c r="K15" i="1"/>
  <c r="K10" i="1"/>
  <c r="K5" i="1"/>
</calcChain>
</file>

<file path=xl/sharedStrings.xml><?xml version="1.0" encoding="utf-8"?>
<sst xmlns="http://schemas.openxmlformats.org/spreadsheetml/2006/main" count="61" uniqueCount="33">
  <si>
    <t>ProductID</t>
  </si>
  <si>
    <t>Product</t>
  </si>
  <si>
    <t>PRODA</t>
  </si>
  <si>
    <t>PRODB</t>
  </si>
  <si>
    <t>PRODC</t>
  </si>
  <si>
    <t>PRODD</t>
  </si>
  <si>
    <t>PRODE</t>
  </si>
  <si>
    <t>PRODF</t>
  </si>
  <si>
    <t>Category</t>
  </si>
  <si>
    <t>Electronics</t>
  </si>
  <si>
    <t>Furniture</t>
  </si>
  <si>
    <t>Clothing</t>
  </si>
  <si>
    <t>Jan Sales</t>
  </si>
  <si>
    <t>Feb Sales</t>
  </si>
  <si>
    <t>Mar Sales</t>
  </si>
  <si>
    <t>Apr Sales</t>
  </si>
  <si>
    <t>May Sales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</si>
  <si>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</si>
  <si>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</si>
  <si>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</si>
  <si>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Max Sale Month</t>
  </si>
  <si>
    <t>4. Use INDEX and MATCH to find the month with the maximum sales for Product A.</t>
  </si>
  <si>
    <t>Max Sale</t>
  </si>
  <si>
    <t>5. Use INDEX, MATCH, and SUMIF to sum the sales for all products in the "Electronics" category for April.</t>
  </si>
  <si>
    <t>Sum of Apr sales</t>
  </si>
  <si>
    <t>Month</t>
  </si>
  <si>
    <t>6. Use INDEX and MATCH to calculate the average sales for Product D across all months.</t>
  </si>
  <si>
    <t>Average</t>
  </si>
  <si>
    <t>7. Use INDEX and MATCH to find the sales for Product ID 105 in May.</t>
  </si>
  <si>
    <t>Product ID</t>
  </si>
  <si>
    <t>Sale</t>
  </si>
  <si>
    <t>8. Use INDEX and MATCH to create a dynamic lookup where the user can input a product and a month, and the formula returns the corresponding sales.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</si>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</sst>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FA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F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B14" sqref="B14"/>
    </sheetView>
  </sheetViews>
  <sheetFormatPr defaultRowHeight="14.4" x14ac:dyDescent="0.3"/>
  <cols>
    <col min="1" max="1" width="9.44140625" bestFit="1" customWidth="1"/>
    <col min="2" max="2" width="7.6640625" bestFit="1" customWidth="1"/>
    <col min="3" max="3" width="9.88671875" bestFit="1" customWidth="1"/>
    <col min="4" max="4" width="8.44140625" bestFit="1" customWidth="1"/>
    <col min="5" max="5" width="8.6640625" bestFit="1" customWidth="1"/>
    <col min="6" max="6" width="9.109375" bestFit="1" customWidth="1"/>
    <col min="7" max="7" width="8.6640625" bestFit="1" customWidth="1"/>
    <col min="8" max="8" width="9.44140625" bestFit="1" customWidth="1"/>
    <col min="10" max="10" width="10.44140625" customWidth="1"/>
    <col min="11" max="11" width="14.88671875" bestFit="1" customWidth="1"/>
    <col min="12" max="12" width="15" bestFit="1" customWidth="1"/>
    <col min="15" max="15" width="9.88671875" bestFit="1" customWidth="1"/>
  </cols>
  <sheetData>
    <row r="1" spans="1:18" x14ac:dyDescent="0.3">
      <c r="A1" s="2" t="s">
        <v>0</v>
      </c>
      <c r="B1" s="2" t="s">
        <v>1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18" x14ac:dyDescent="0.3">
      <c r="A2" s="3">
        <v>101</v>
      </c>
      <c r="B2" s="3" t="s">
        <v>2</v>
      </c>
      <c r="C2" s="3" t="s">
        <v>9</v>
      </c>
      <c r="D2" s="3">
        <v>120</v>
      </c>
      <c r="E2" s="3">
        <v>130</v>
      </c>
      <c r="F2" s="3">
        <v>140</v>
      </c>
      <c r="G2" s="3">
        <v>150</v>
      </c>
      <c r="H2" s="3">
        <v>160</v>
      </c>
      <c r="J2" s="4" t="s">
        <v>17</v>
      </c>
      <c r="K2" s="4"/>
      <c r="L2" s="4"/>
      <c r="M2" s="4"/>
      <c r="N2" s="4"/>
      <c r="O2" s="1"/>
      <c r="P2" s="1"/>
    </row>
    <row r="3" spans="1:18" x14ac:dyDescent="0.3">
      <c r="A3" s="3">
        <v>102</v>
      </c>
      <c r="B3" s="3" t="s">
        <v>3</v>
      </c>
      <c r="C3" s="3" t="s">
        <v>10</v>
      </c>
      <c r="D3" s="3">
        <v>150</v>
      </c>
      <c r="E3" s="3">
        <v>160</v>
      </c>
      <c r="F3" s="3">
        <v>170</v>
      </c>
      <c r="G3" s="3">
        <v>180</v>
      </c>
      <c r="H3" s="3">
        <v>190</v>
      </c>
    </row>
    <row r="4" spans="1:18" x14ac:dyDescent="0.3">
      <c r="A4" s="3">
        <v>103</v>
      </c>
      <c r="B4" s="3" t="s">
        <v>4</v>
      </c>
      <c r="C4" s="3" t="s">
        <v>9</v>
      </c>
      <c r="D4" s="3">
        <v>200</v>
      </c>
      <c r="E4" s="3">
        <v>210</v>
      </c>
      <c r="F4" s="3">
        <v>220</v>
      </c>
      <c r="G4" s="3">
        <v>230</v>
      </c>
      <c r="H4" s="3">
        <v>240</v>
      </c>
      <c r="J4" s="2" t="s">
        <v>1</v>
      </c>
      <c r="K4" s="2" t="s">
        <v>14</v>
      </c>
    </row>
    <row r="5" spans="1:18" x14ac:dyDescent="0.3">
      <c r="A5" s="3">
        <v>104</v>
      </c>
      <c r="B5" s="3" t="s">
        <v>5</v>
      </c>
      <c r="C5" s="3" t="s">
        <v>11</v>
      </c>
      <c r="D5" s="3">
        <v>90</v>
      </c>
      <c r="E5" s="3">
        <v>100</v>
      </c>
      <c r="F5" s="3">
        <v>110</v>
      </c>
      <c r="G5" s="3">
        <v>120</v>
      </c>
      <c r="H5" s="3">
        <v>130</v>
      </c>
      <c r="J5" s="3" t="s">
        <v>4</v>
      </c>
      <c r="K5" s="3">
        <f>INDEX(F1:F7,MATCH(J5,B1:B7,0))</f>
        <v>220</v>
      </c>
    </row>
    <row r="6" spans="1:18" x14ac:dyDescent="0.3">
      <c r="A6" s="3">
        <v>105</v>
      </c>
      <c r="B6" s="3" t="s">
        <v>6</v>
      </c>
      <c r="C6" s="3" t="s">
        <v>10</v>
      </c>
      <c r="D6" s="3">
        <v>220</v>
      </c>
      <c r="E6" s="3">
        <v>230</v>
      </c>
      <c r="F6" s="3">
        <v>240</v>
      </c>
      <c r="G6" s="3">
        <v>250</v>
      </c>
      <c r="H6" s="3">
        <v>260</v>
      </c>
    </row>
    <row r="7" spans="1:18" x14ac:dyDescent="0.3">
      <c r="A7" s="3">
        <v>106</v>
      </c>
      <c r="B7" s="3" t="s">
        <v>7</v>
      </c>
      <c r="C7" s="3" t="s">
        <v>9</v>
      </c>
      <c r="D7" s="3">
        <v>130</v>
      </c>
      <c r="E7" s="3">
        <v>140</v>
      </c>
      <c r="F7" s="3">
        <v>150</v>
      </c>
      <c r="G7" s="3">
        <v>160</v>
      </c>
      <c r="H7" s="3">
        <v>170</v>
      </c>
      <c r="J7" s="4" t="s">
        <v>18</v>
      </c>
      <c r="K7" s="4"/>
      <c r="L7" s="4"/>
      <c r="M7" s="4"/>
      <c r="N7" s="4"/>
      <c r="O7" s="1"/>
    </row>
    <row r="9" spans="1:18" x14ac:dyDescent="0.3">
      <c r="J9" s="2" t="s">
        <v>1</v>
      </c>
      <c r="K9" s="2" t="s">
        <v>8</v>
      </c>
    </row>
    <row r="10" spans="1:18" x14ac:dyDescent="0.3">
      <c r="J10" s="3" t="s">
        <v>6</v>
      </c>
      <c r="K10" s="3" t="str">
        <f>INDEX(C1:C7,MATCH(J10,B1:B7,0))</f>
        <v>Furniture</v>
      </c>
    </row>
    <row r="12" spans="1:18" x14ac:dyDescent="0.3">
      <c r="J12" s="4" t="s">
        <v>19</v>
      </c>
      <c r="K12" s="4"/>
      <c r="L12" s="4"/>
      <c r="M12" s="4"/>
      <c r="N12" s="4"/>
      <c r="O12" s="4"/>
      <c r="P12" s="4"/>
      <c r="Q12" s="1"/>
      <c r="R12" s="1"/>
    </row>
    <row r="14" spans="1:18" x14ac:dyDescent="0.3">
      <c r="J14" s="2" t="s">
        <v>1</v>
      </c>
      <c r="K14" s="2" t="s">
        <v>22</v>
      </c>
      <c r="L14" s="1"/>
      <c r="M14" s="1"/>
      <c r="N14" s="1"/>
      <c r="O14" s="1"/>
    </row>
    <row r="15" spans="1:18" x14ac:dyDescent="0.3">
      <c r="J15" s="3" t="s">
        <v>4</v>
      </c>
      <c r="K15" s="3">
        <f>MAX(INDEX(A1:H7,MATCH(J15,B1:B7,0),))</f>
        <v>240</v>
      </c>
    </row>
    <row r="17" spans="10:18" x14ac:dyDescent="0.3">
      <c r="J17" s="4" t="s">
        <v>21</v>
      </c>
      <c r="K17" s="4"/>
      <c r="L17" s="4"/>
      <c r="M17" s="4"/>
      <c r="N17" s="4"/>
      <c r="O17" s="4"/>
      <c r="P17" s="4"/>
    </row>
    <row r="19" spans="10:18" x14ac:dyDescent="0.3">
      <c r="J19" s="2" t="s">
        <v>1</v>
      </c>
      <c r="K19" s="2" t="s">
        <v>20</v>
      </c>
      <c r="L19" s="2" t="s">
        <v>20</v>
      </c>
    </row>
    <row r="20" spans="10:18" x14ac:dyDescent="0.3">
      <c r="J20" s="3" t="s">
        <v>2</v>
      </c>
      <c r="K20" s="3" t="str">
        <f>INDEX(D1:H1, MATCH(MAX(INDEX(D2:H7, MATCH(J20, B2:B7, 0), 0)), INDEX(D2:H7, MATCH(J20, B2:B7, 0), 0), 0))</f>
        <v>May Sales</v>
      </c>
      <c r="L20" s="3" t="str">
        <f>INDEX(D1:H1,MATCH(MAX(D2:H2),D2:H2,0))</f>
        <v>May Sales</v>
      </c>
    </row>
    <row r="22" spans="10:18" x14ac:dyDescent="0.3">
      <c r="J22" s="4" t="s">
        <v>23</v>
      </c>
      <c r="K22" s="4"/>
      <c r="L22" s="4"/>
      <c r="M22" s="4"/>
      <c r="N22" s="4"/>
      <c r="O22" s="4"/>
      <c r="P22" s="4"/>
      <c r="Q22" s="4"/>
      <c r="R22" s="4"/>
    </row>
    <row r="24" spans="10:18" x14ac:dyDescent="0.3">
      <c r="J24" s="2" t="s">
        <v>8</v>
      </c>
      <c r="K24" s="2" t="s">
        <v>25</v>
      </c>
      <c r="L24" s="2" t="s">
        <v>24</v>
      </c>
      <c r="O24" s="3" t="s">
        <v>9</v>
      </c>
    </row>
    <row r="25" spans="10:18" x14ac:dyDescent="0.3">
      <c r="J25" s="3" t="s">
        <v>9</v>
      </c>
      <c r="K25" s="3" t="s">
        <v>14</v>
      </c>
      <c r="L25" s="3">
        <f>SUMIF(C2:C7, J25, INDEX(D2:H7,, MATCH(K25, D1:H1, 0)))</f>
        <v>510</v>
      </c>
      <c r="O25" s="3" t="s">
        <v>10</v>
      </c>
    </row>
    <row r="26" spans="10:18" x14ac:dyDescent="0.3">
      <c r="O26" s="3" t="s">
        <v>11</v>
      </c>
    </row>
    <row r="28" spans="10:18" x14ac:dyDescent="0.3">
      <c r="J28" s="4" t="s">
        <v>26</v>
      </c>
      <c r="K28" s="4"/>
      <c r="L28" s="4"/>
      <c r="M28" s="4"/>
      <c r="N28" s="4"/>
      <c r="O28" s="4"/>
      <c r="P28" s="4"/>
    </row>
    <row r="30" spans="10:18" x14ac:dyDescent="0.3">
      <c r="J30" s="2" t="s">
        <v>1</v>
      </c>
      <c r="K30" s="2" t="s">
        <v>27</v>
      </c>
    </row>
    <row r="31" spans="10:18" x14ac:dyDescent="0.3">
      <c r="J31" s="3" t="s">
        <v>5</v>
      </c>
      <c r="K31" s="3">
        <f>AVERAGE(INDEX(D2:H7,MATCH(J31,B2:B7,0),0))</f>
        <v>110</v>
      </c>
    </row>
    <row r="33" spans="10:22" x14ac:dyDescent="0.3">
      <c r="J33" s="4" t="s">
        <v>28</v>
      </c>
      <c r="K33" s="4"/>
      <c r="L33" s="4"/>
      <c r="M33" s="4"/>
      <c r="N33" s="4"/>
    </row>
    <row r="35" spans="10:22" x14ac:dyDescent="0.3">
      <c r="J35" s="2" t="s">
        <v>29</v>
      </c>
      <c r="K35" s="2" t="s">
        <v>25</v>
      </c>
      <c r="L35" s="2" t="s">
        <v>30</v>
      </c>
    </row>
    <row r="36" spans="10:22" x14ac:dyDescent="0.3">
      <c r="J36" s="3">
        <v>105</v>
      </c>
      <c r="K36" s="3" t="s">
        <v>16</v>
      </c>
      <c r="L36" s="3">
        <f>INDEX(D2:H7, MATCH(J36, A2:A7, 0), MATCH(K36, D1:H1, 0))</f>
        <v>260</v>
      </c>
    </row>
    <row r="38" spans="10:22" x14ac:dyDescent="0.3">
      <c r="J38" s="4" t="s">
        <v>31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40" spans="10:22" x14ac:dyDescent="0.3">
      <c r="J40" s="2" t="s">
        <v>1</v>
      </c>
      <c r="K40" s="2" t="s">
        <v>25</v>
      </c>
      <c r="L40" s="2" t="s">
        <v>32</v>
      </c>
    </row>
    <row r="41" spans="10:22" x14ac:dyDescent="0.3">
      <c r="J41" s="3" t="s">
        <v>2</v>
      </c>
      <c r="K41" s="3" t="s">
        <v>14</v>
      </c>
      <c r="L41" s="3">
        <f>INDEX(D2:H7, MATCH(J41, B2:B7, 0), MATCH(K41, D1:H1, 0))</f>
        <v>140</v>
      </c>
    </row>
  </sheetData>
  <mergeCells count="8">
    <mergeCell ref="J38:V38"/>
    <mergeCell ref="J33:N33"/>
    <mergeCell ref="J28:P28"/>
    <mergeCell ref="J12:P12"/>
    <mergeCell ref="J7:N7"/>
    <mergeCell ref="J2:N2"/>
    <mergeCell ref="J17:P17"/>
    <mergeCell ref="J22:R22"/>
  </mergeCells>
  <dataValidations count="4">
    <dataValidation type="list" allowBlank="1" showInputMessage="1" showErrorMessage="1" sqref="J15 J20 J31 J41" xr:uid="{13519636-8673-47D8-A185-EDF3FE7F2ABD}">
      <formula1>$B$2:$B$7</formula1>
    </dataValidation>
    <dataValidation type="list" allowBlank="1" showInputMessage="1" showErrorMessage="1" sqref="J25" xr:uid="{A3742C56-0D4B-4F99-8694-9C8B11CFE96D}">
      <formula1>$O$24:$O$26</formula1>
    </dataValidation>
    <dataValidation type="list" allowBlank="1" showInputMessage="1" showErrorMessage="1" sqref="K25 K36 K41" xr:uid="{CAD54163-850C-417A-9F06-2C71559512C7}">
      <formula1>$D$1:$H$1</formula1>
    </dataValidation>
    <dataValidation type="list" allowBlank="1" showInputMessage="1" showErrorMessage="1" sqref="J36" xr:uid="{47F646C9-CAE6-481C-A88B-D56426DB032D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 &amp;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 Roy</cp:lastModifiedBy>
  <dcterms:created xsi:type="dcterms:W3CDTF">2015-06-05T18:17:20Z</dcterms:created>
  <dcterms:modified xsi:type="dcterms:W3CDTF">2026-05-27T05:35:04Z</dcterms:modified>
</cp:coreProperties>
</file>